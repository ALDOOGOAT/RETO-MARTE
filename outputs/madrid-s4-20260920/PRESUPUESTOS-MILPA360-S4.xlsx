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d43aab5c3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d6f3cefc2e84010"/>
    <x:sheet xmlns:r="http://schemas.openxmlformats.org/officeDocument/2006/relationships" name="Madrid" sheetId="2" r:id="Rafcc411e2d254c69"/>
    <x:sheet xmlns:r="http://schemas.openxmlformats.org/officeDocument/2006/relationships" name="Chiapas" sheetId="3" r:id="Rdf7d1e352adf4f32"/>
    <x:sheet xmlns:r="http://schemas.openxmlformats.org/officeDocument/2006/relationships" name="Marte" sheetId="4" r:id="R40ff9f5b7c454a2d"/>
    <x:sheet xmlns:r="http://schemas.openxmlformats.org/officeDocument/2006/relationships" name="Precios" sheetId="5" r:id="Rec2cf6f76819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;[Red](#,##0.00);0.00"/>
    <x:numFmt numFmtId="202" formatCode="yyyy-mm-dd"/>
    <x:numFmt numFmtId="203" formatCode="#,##0.00"/>
  </x:numFmts>
  <x:fonts count="9">
    <x:font>
      <x:sz val="11"/>
      <x:name val="Carlito"/>
    </x:font>
    <x:font>
      <x:sz val="10"/>
      <x:color rgb="FF162D36"/>
      <x:name val="Arial"/>
    </x:font>
    <x:font>
      <x:b/>
      <x:sz val="14"/>
      <x:color rgb="FF162D36"/>
      <x:name val="Arial"/>
    </x:font>
    <x:font>
      <x:b/>
      <x:sz val="10"/>
      <x:color rgb="FFFFFFFF"/>
      <x:name val="Arial"/>
    </x:font>
    <x:font>
      <x:sz val="10"/>
      <x:color rgb="FF155FC4"/>
      <x:name val="Arial"/>
    </x:font>
    <x:font>
      <x:b/>
      <x:sz val="10"/>
      <x:color rgb="FF162D36"/>
      <x:name val="Arial"/>
    </x:font>
    <x:font>
      <x:sz val="10"/>
      <x:color rgb="FF167044"/>
      <x:name val="Arial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C46"/>
      </x:patternFill>
    </x:fill>
  </x:fills>
  <x:borders count="2">
    <x:border/>
    <x:border>
      <x:bottom style="double">
        <x:color rgb="FF173C4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855000"/>
      </x:font>
      <x:fill>
        <x:patternFill patternType="solid">
          <x:bgColor rgb="FFFFF0CD"/>
        </x:patternFill>
      </x:fill>
    </x:dxf>
    <x:dxf>
      <x:font>
        <x:color rgb="FF855000"/>
      </x:font>
      <x:fill>
        <x:patternFill patternType="solid">
          <x:bgColor rgb="FFFFF0CD"/>
        </x:patternFill>
      </x:fill>
    </x:dxf>
    <x:dxf>
      <x:font>
        <x:color rgb="FF855000"/>
      </x:font>
      <x:fill>
        <x:patternFill patternType="solid">
          <x:bgColor rgb="FFFFF0CD"/>
        </x:patternFill>
      </x:fill>
    </x:dxf>
    <x:dxf>
      <x:font>
        <x:color rgb="FF855000"/>
      </x:font>
      <x:fill>
        <x:patternFill patternType="solid">
          <x:bgColor rgb="FFFFF0CD"/>
        </x:patternFill>
      </x:fill>
    </x:dxf>
    <x:dxf>
      <x:font>
        <x:color rgb="FF855000"/>
      </x:font>
      <x:fill>
        <x:patternFill patternType="solid">
          <x:bgColor rgb="FFFFF0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b730a31a74e25" /><Relationship Type="http://schemas.openxmlformats.org/officeDocument/2006/relationships/theme" Target="/xl/theme/theme1.xml" Id="Rc54ea1782df44b3d" /><Relationship Type="http://schemas.openxmlformats.org/officeDocument/2006/relationships/sharedStrings" Target="/xl/sharedStrings.xml" Id="R101286f3d7c74f01" /><Relationship Type="http://schemas.openxmlformats.org/officeDocument/2006/relationships/worksheet" Target="/xl/worksheets/sheet1.xml" Id="R6d6f3cefc2e84010" /><Relationship Type="http://schemas.openxmlformats.org/officeDocument/2006/relationships/worksheet" Target="/xl/worksheets/sheet2.xml" Id="Rafcc411e2d254c69" /><Relationship Type="http://schemas.openxmlformats.org/officeDocument/2006/relationships/worksheet" Target="/xl/worksheets/sheet3.xml" Id="Rdf7d1e352adf4f32" /><Relationship Type="http://schemas.openxmlformats.org/officeDocument/2006/relationships/worksheet" Target="/xl/worksheets/sheet4.xml" Id="R40ff9f5b7c454a2d" /><Relationship Type="http://schemas.openxmlformats.org/officeDocument/2006/relationships/worksheet" Target="/xl/worksheets/sheet5.xml" Id="Rec2cf6f76819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22" hidden="0" customWidth="1"/>
    <x:col min="4" max="4" width="3" hidden="0" customWidth="1"/>
    <x:col min="5" max="5" width="66" hidden="0" customWidth="1"/>
  </x:cols>
  <x:sheetData>
    <x:row r="1" ht="32" customHeight="1">
      <x:c r="A1" s="4" t="str">
        <x:v>MILPA-360 · Presupuestos S4</x:v>
      </x:c>
      <x:c r="B1" s="3"/>
      <x:c r="C1" s="3"/>
      <x:c r="D1" s="3"/>
      <x:c r="E1" s="3"/>
    </x:row>
    <x:row r="2" ht="32" customHeight="1">
      <x:c r="A2" s="3" t="str">
        <x:v>P4-S4-2026-09-20 · MXN · precios públicos, sin compras</x:v>
      </x:c>
      <x:c r="B2" s="3"/>
      <x:c r="C2" s="3"/>
      <x:c r="D2" s="3"/>
      <x:c r="E2" s="3"/>
    </x:row>
    <x:row r="3" ht="38" customHeight="1">
      <x:c r="A3" s="3" t="str">
        <x:v>Presupuestos preliminares: una suma parcial no es el coste del proyecto.</x:v>
      </x:c>
      <x:c r="B3" s="3"/>
      <x:c r="C3" s="3"/>
      <x:c r="D3" s="3"/>
      <x:c r="E3" s="3"/>
    </x:row>
    <x:row r="4" ht="32" customHeight="1">
      <x:c r="A4" s="3"/>
      <x:c r="B4" s="3"/>
      <x:c r="C4" s="3"/>
      <x:c r="D4" s="3"/>
      <x:c r="E4" s="3"/>
    </x:row>
    <x:row r="5" ht="38" customHeight="1">
      <x:c r="A5" s="6" t="str">
        <x:v>Controles de planificación</x:v>
      </x:c>
      <x:c r="B5" s="6" t="str">
        <x:v>Valor</x:v>
      </x:c>
      <x:c r="C5" s="3"/>
      <x:c r="D5" s="3"/>
      <x:c r="E5" s="3" t="str">
        <x:v>Criterios</x:v>
      </x:c>
    </x:row>
    <x:row r="6" ht="52" customHeight="1">
      <x:c r="A6" s="3" t="str">
        <x:v>IVA general (sólo precio excluido)</x:v>
      </x:c>
      <x:c r="B6" s="8" t="n">
        <x:v>0.16</x:v>
      </x:c>
      <x:c r="C6" s="3"/>
      <x:c r="D6" s="3"/>
      <x:c r="E6" s="3" t="str">
        <x:v>https://wwwmat.sat.gob.mx/articulo/19848/articulo-1</x:v>
      </x:c>
    </x:row>
    <x:row r="7" ht="52" customHeight="1">
      <x:c r="A7" s="3" t="str">
        <x:v>Contingencia provisional</x:v>
      </x:c>
      <x:c r="B7" s="8" t="n">
        <x:v>0.2</x:v>
      </x:c>
      <x:c r="C7" s="3"/>
      <x:c r="D7" s="3"/>
      <x:c r="E7" s="3" t="str">
        <x:v>Preferencia provisional de planificación por fabricación y transporte sin cerrar; no cubre partidas desconocidas ni constituye intervalo de confianza. Aplicar sólo cuando la base esté completa.</x:v>
      </x:c>
    </x:row>
    <x:row r="8" ht="52" customHeight="1">
      <x:c r="A8" s="3" t="str">
        <x:v>Límite equipo MXN</x:v>
      </x:c>
      <x:c r="B8" s="9"/>
      <x:c r="C8" s="3"/>
      <x:c r="D8" s="3"/>
      <x:c r="E8" s="3" t="str">
        <x:v>Pendiente del equipo; tampoco conocemos inventario, donaciones ni préstamos.</x:v>
      </x:c>
    </x:row>
    <x:row r="9" ht="52" customHeight="1">
      <x:c r="A9" s="3" t="str">
        <x:v>Fecha de consulta</x:v>
      </x:c>
      <x:c r="B9" s="10" t="n">
        <x:v>46285.5</x:v>
      </x:c>
      <x:c r="C9" s="3"/>
      <x:c r="D9" s="3"/>
      <x:c r="E9" s="3" t="str">
        <x:v>Azul: entrada. Verde: vínculo entre hojas. Negro: cálculo. Ámbar: falta información.</x:v>
      </x:c>
    </x:row>
    <x:row r="10" ht="32" customHeight="1">
      <x:c r="A10" s="3"/>
      <x:c r="B10" s="3"/>
      <x:c r="C10" s="3"/>
      <x:c r="D10" s="3"/>
      <x:c r="E10" s="3"/>
    </x:row>
    <x:row r="11" ht="32" customHeight="1">
      <x:c r="A11" s="3" t="str">
        <x:v>Los tres alcances son independientes. No sumar Madrid + Chiapas + Marte.</x:v>
      </x:c>
      <x:c r="B11" s="3"/>
      <x:c r="C11" s="3"/>
      <x:c r="D11" s="3"/>
      <x:c r="E11" s="3"/>
    </x:row>
    <x:row r="12" ht="32" customHeight="1">
      <x:c r="A12" s="3"/>
      <x:c r="B12" s="3"/>
      <x:c r="C12" s="3"/>
      <x:c r="D12" s="3"/>
      <x:c r="E12" s="3"/>
    </x:row>
    <x:row r="13" ht="38" customHeight="1">
      <x:c r="A13" s="6" t="str">
        <x:v>Estado / importe en MXN</x:v>
      </x:c>
      <x:c r="B13" s="6" t="str">
        <x:v>Madrid</x:v>
      </x:c>
      <x:c r="C13" s="6" t="str">
        <x:v>Chiapas</x:v>
      </x:c>
      <x:c r="D13" s="3"/>
      <x:c r="E13" s="3"/>
    </x:row>
    <x:row r="14" ht="32" customHeight="1">
      <x:c r="A14" s="3" t="str">
        <x:v>Base conocida de reposición</x:v>
      </x:c>
      <x:c r="B14" s="19" t="n">
        <x:f>IF(COUNT(Madrid!G6:G24)=0,"Sin base",ROUND(SUM(Madrid!G6:G24),2))</x:f>
        <x:v>1050.96</x:v>
      </x:c>
      <x:c r="C14" s="19" t="n">
        <x:f>IF(COUNT(Chiapas!G6:G25)=0,"Sin base",ROUND(SUM(Chiapas!G6:G25),2))</x:f>
        <x:v>139.2</x:v>
      </x:c>
      <x:c r="D14" s="3"/>
      <x:c r="E14" s="3" t="str">
        <x:v>Sólo líneas con cantidad, precio e IVA resueltos; excluye todas las pendientes.</x:v>
      </x:c>
    </x:row>
    <x:row r="15" ht="32" customHeight="1">
      <x:c r="A15" s="3" t="str">
        <x:v>Partidas con coste calculable</x:v>
      </x:c>
      <x:c r="B15" s="17" t="n">
        <x:f>COUNT(Madrid!G6:G24)</x:f>
        <x:v>4</x:v>
      </x:c>
      <x:c r="C15" s="17" t="n">
        <x:f>COUNT(Chiapas!G6:G25)</x:f>
        <x:v>1</x:v>
      </x:c>
      <x:c r="D15" s="3"/>
      <x:c r="E15" s="3" t="str">
        <x:v>Cuenta líneas, no porcentaje monetario cubierto.</x:v>
      </x:c>
    </x:row>
    <x:row r="16" ht="32" customHeight="1">
      <x:c r="A16" s="3" t="str">
        <x:v>Partidas con coste pendiente</x:v>
      </x:c>
      <x:c r="B16" s="18" t="n">
        <x:f>19-B15</x:f>
        <x:v>15</x:v>
      </x:c>
      <x:c r="C16" s="18" t="n">
        <x:f>20-C15</x:f>
        <x:v>19</x:v>
      </x:c>
      <x:c r="D16" s="3"/>
      <x:c r="E16" s="3" t="str">
        <x:v>Incluye fabricación, fletes, horas, tarifas o fiscalidad faltantes.</x:v>
      </x:c>
    </x:row>
    <x:row r="17" ht="32" customHeight="1">
      <x:c r="A17" s="3" t="str">
        <x:v>Lista de materiales cerrada</x:v>
      </x:c>
      <x:c r="B17" s="7" t="str">
        <x:v>No</x:v>
      </x:c>
      <x:c r="C17" s="7" t="str">
        <x:v>No</x:v>
      </x:c>
      <x:c r="D17" s="3"/>
      <x:c r="E17" s="3" t="str">
        <x:v>Cambiar a Sí sólo tras cerrar alcance, cantidades y cotizaciones.</x:v>
      </x:c>
    </x:row>
    <x:row r="18" ht="32" customHeight="1">
      <x:c r="A18" s="3" t="str">
        <x:v>Base completa de reposición</x:v>
      </x:c>
      <x:c r="B18" s="19" t="str">
        <x:f>IF(AND(B16=0,B17="Sí"),ROUND(SUM(Madrid!G6:G24),2),"Pendiente")</x:f>
        <x:v>Pendiente</x:v>
      </x:c>
      <x:c r="C18" s="19" t="str">
        <x:f>IF(AND(C16=0,C17="Sí"),ROUND(SUM(Chiapas!G6:G25),2),"Pendiente")</x:f>
        <x:v>Pendiente</x:v>
      </x:c>
      <x:c r="D18" s="3"/>
      <x:c r="E18" s="3" t="str">
        <x:v>Las cantidades aún son de planificación; no constituyen orden de compra.</x:v>
      </x:c>
    </x:row>
    <x:row r="19" ht="32" customHeight="1">
      <x:c r="A19" s="3" t="str">
        <x:v>Contingencia de reposición</x:v>
      </x:c>
      <x:c r="B19" s="16" t="str">
        <x:f>IF(AND(ISNUMBER(B18),ISNUMBER($B$7),$B$7&gt;=0,$B$7&lt;=1),ROUND(B18*$B$7,2),"Pendiente")</x:f>
        <x:v>Pendiente</x:v>
      </x:c>
      <x:c r="C19" s="16" t="str">
        <x:f>IF(AND(ISNUMBER(C18),ISNUMBER($B$7),$B$7&gt;=0,$B$7&lt;=1),ROUND(C18*$B$7,2),"Pendiente")</x:f>
        <x:v>Pendiente</x:v>
      </x:c>
      <x:c r="D19" s="3"/>
      <x:c r="E19" s="3" t="str">
        <x:v>20% provisional; no sustituye faltantes. Ajustar con riesgos y evidencia.</x:v>
      </x:c>
    </x:row>
    <x:row r="20" ht="32" customHeight="1">
      <x:c r="A20" s="11" t="str">
        <x:v>Total de reposición</x:v>
      </x:c>
      <x:c r="B20" s="23" t="str">
        <x:f>IF(AND(ISNUMBER(B18),ISNUMBER(B19)),ROUND(B18+B19,2),"Pendiente")</x:f>
        <x:v>Pendiente</x:v>
      </x:c>
      <x:c r="C20" s="23" t="str">
        <x:f>IF(AND(ISNUMBER(C18),ISNUMBER(C19)),ROUND(C18+C19,2),"Pendiente")</x:f>
        <x:v>Pendiente</x:v>
      </x:c>
      <x:c r="D20" s="3"/>
      <x:c r="E20" s="3" t="str">
        <x:v>Coste de obtener todo el alcance, incluidos recursos cedidos.</x:v>
      </x:c>
    </x:row>
    <x:row r="21" ht="32" customHeight="1">
      <x:c r="A21" s="3" t="str">
        <x:v>Base de desembolso</x:v>
      </x:c>
      <x:c r="B21" s="19" t="str">
        <x:f>IF(AND(COUNT(Madrid!I6:I24)=19,B17="Sí"),ROUND(SUM(Madrid!I6:I24),2),"Pendiente")</x:f>
        <x:v>Pendiente</x:v>
      </x:c>
      <x:c r="C21" s="19" t="str">
        <x:f>IF(AND(COUNT(Chiapas!I6:I25)=20,C17="Sí"),ROUND(SUM(Chiapas!I6:I25),2),"Pendiente")</x:f>
        <x:v>Pendiente</x:v>
      </x:c>
      <x:c r="D21" s="3"/>
      <x:c r="E21" s="3" t="str">
        <x:v>Según recurso por línea. Propio/donado/prestado/voluntario requieren confirmación sin pago.</x:v>
      </x:c>
    </x:row>
    <x:row r="22" ht="32" customHeight="1">
      <x:c r="A22" s="3" t="str">
        <x:v>Contingencia de desembolso</x:v>
      </x:c>
      <x:c r="B22" s="16" t="str">
        <x:f>IF(AND(ISNUMBER(B21),ISNUMBER($B$7),$B$7&gt;=0,$B$7&lt;=1),ROUND(B21*$B$7,2),"Pendiente")</x:f>
        <x:v>Pendiente</x:v>
      </x:c>
      <x:c r="C22" s="16" t="str">
        <x:f>IF(AND(ISNUMBER(C21),ISNUMBER($B$7),$B$7&gt;=0,$B$7&lt;=1),ROUND(C21*$B$7,2),"Pendiente")</x:f>
        <x:v>Pendiente</x:v>
      </x:c>
      <x:c r="D22" s="3"/>
      <x:c r="E22" s="3" t="str">
        <x:v>Reserva monetaria separada; no gasto realizado.</x:v>
      </x:c>
    </x:row>
    <x:row r="23" ht="32" customHeight="1">
      <x:c r="A23" s="12" t="str">
        <x:v>Total de desembolso</x:v>
      </x:c>
      <x:c r="B23" s="24" t="str">
        <x:f>IF(AND(ISNUMBER(B21),ISNUMBER(B22)),ROUND(B21+B22,2),"Pendiente")</x:f>
        <x:v>Pendiente</x:v>
      </x:c>
      <x:c r="C23" s="24" t="str">
        <x:f>IF(AND(ISNUMBER(C21),ISNUMBER(C22)),ROUND(C21+C22,2),"Pendiente")</x:f>
        <x:v>Pendiente</x:v>
      </x:c>
      <x:c r="D23" s="3"/>
      <x:c r="E23" s="3" t="str">
        <x:v>Pendiente mientras falten precios, recursos o lista cerrada.</x:v>
      </x:c>
    </x:row>
    <x:row r="24" ht="32" customHeight="1">
      <x:c r="A24" s="3" t="str">
        <x:v>Frente al límite del equipo</x:v>
      </x:c>
      <x:c r="B24" s="18" t="str">
        <x:f>IF(NOT(ISNUMBER($B$8)),"Sin límite",IF($B$8&lt;0,"Revisar",IF(ISNUMBER(B23),IF(B23&lt;=$B$8,"Dentro","Excede"),"Pendiente")))</x:f>
        <x:v>Sin límite</x:v>
      </x:c>
      <x:c r="C24" s="18" t="str">
        <x:f>IF(NOT(ISNUMBER($B$8)),"Sin límite",IF($B$8&lt;0,"Revisar",IF(ISNUMBER(C23),IF(C23&lt;=$B$8,"Dentro","Excede"),"Pendiente")))</x:f>
        <x:v>Sin límite</x:v>
      </x:c>
      <x:c r="D24" s="3"/>
      <x:c r="E24" s="3" t="str">
        <x:v>Evalúa cada alcance por separado; no un programa conjunto.</x:v>
      </x:c>
    </x:row>
    <x:row r="25" ht="32" customHeight="1">
      <x:c r="A25" s="3"/>
      <x:c r="B25" s="3"/>
      <x:c r="C25" s="3"/>
      <x:c r="D25" s="3"/>
      <x:c r="E25" s="3"/>
    </x:row>
    <x:row r="26" ht="32" customHeight="1">
      <x:c r="A26" s="3"/>
      <x:c r="B26" s="3"/>
      <x:c r="C26" s="3"/>
      <x:c r="D26" s="3"/>
      <x:c r="E26" s="3"/>
    </x:row>
    <x:row r="27" ht="38" customHeight="1">
      <x:c r="A27" s="6" t="str">
        <x:v>Marte · presupuesto de recursos, sin precio de misión</x:v>
      </x:c>
      <x:c r="B27" s="6"/>
      <x:c r="C27" s="6"/>
      <x:c r="D27" s="3"/>
      <x:c r="E27" s="3"/>
    </x:row>
    <x:row r="28" ht="32" customHeight="1">
      <x:c r="A28" s="3" t="str">
        <x:v>La hoja Marte vincula masa, geometría y reactor a S3. Faltan masa de lanzamiento, potencia total, consumibles, integración y mantenimiento. No hay base para un total económico ni ROI.</x:v>
      </x:c>
      <x:c r="B28" s="3"/>
      <x:c r="C28" s="3"/>
      <x:c r="D28" s="3"/>
      <x:c r="E28" s="3"/>
    </x:row>
    <x:row r="29" ht="32" customHeight="1">
      <x:c r="A29" s="3"/>
      <x:c r="B29" s="3"/>
      <x:c r="C29" s="3"/>
      <x:c r="D29" s="3"/>
      <x:c r="E29" s="3"/>
    </x:row>
    <x:row r="30" ht="32" customHeight="1">
      <x:c r="A30" s="3"/>
      <x:c r="B30" s="3"/>
      <x:c r="C30" s="3"/>
      <x:c r="D30" s="3"/>
      <x:c r="E30" s="3"/>
    </x:row>
    <x:row r="31" ht="32" customHeight="1">
      <x:c r="A31" s="3"/>
      <x:c r="B31" s="3"/>
      <x:c r="C31" s="3"/>
      <x:c r="D31" s="3"/>
      <x:c r="E31" s="3"/>
    </x:row>
    <x:row r="32" ht="32" customHeight="1">
      <x:c r="A32" s="3" t="str">
        <x:v>Siguiente: cotizaciones de fabricación y validación + inventario del equipo.</x:v>
      </x:c>
      <x:c r="B32" s="3"/>
      <x:c r="C32" s="3"/>
      <x:c r="D32" s="3"/>
      <x:c r="E32" s="3"/>
    </x:row>
    <x:row r="33" ht="32" customHeight="1">
      <x:c r="A33" s="3"/>
      <x:c r="B33" s="3"/>
      <x:c r="C33" s="3"/>
      <x:c r="D33" s="3"/>
      <x:c r="E33" s="3"/>
    </x:row>
    <x:row r="34" ht="32" customHeight="1">
      <x:c r="A34" s="3" t="str">
        <x:v>Madrid manual: omitir grupos Motor y Agua sólo si se acepta perder automatización y demostración hidráulica. Chiapas: banco con agua limpia antes de cultivo. Alcances y límites en P4-PRESUPUESTO-CHIAPAS.md.</x:v>
      </x:c>
      <x:c r="B34" s="3"/>
      <x:c r="C34" s="3"/>
      <x:c r="D34" s="3"/>
      <x:c r="E34" s="3"/>
    </x:row>
    <x:row r="35" ht="32" customHeight="1">
      <x:c r="A35" s="3"/>
      <x:c r="B35" s="3"/>
      <x:c r="C35" s="3"/>
      <x:c r="D35" s="3"/>
      <x:c r="E35" s="3"/>
    </x:row>
    <x:row r="36" ht="32" customHeight="1">
      <x:c r="A36" s="3"/>
      <x:c r="B36" s="3"/>
      <x:c r="C36" s="3"/>
      <x:c r="D36" s="3"/>
      <x:c r="E36" s="3"/>
    </x:row>
    <x:row r="37" ht="32" customHeight="1">
      <x:c r="A37" s="3"/>
      <x:c r="B37" s="3"/>
      <x:c r="C37" s="3"/>
      <x:c r="D37" s="3"/>
      <x:c r="E37" s="3"/>
    </x:row>
    <x:row r="38" ht="32" customHeight="1">
      <x:c r="A38" s="3"/>
      <x:c r="B38" s="3"/>
      <x:c r="C38" s="3"/>
      <x:c r="D38" s="3"/>
      <x:c r="E38" s="3"/>
    </x:row>
    <x:row r="39" ht="32" customHeight="1">
      <x:c r="A39" s="3"/>
      <x:c r="B39" s="3"/>
      <x:c r="C39" s="3"/>
      <x:c r="D39" s="3"/>
      <x:c r="E39" s="3"/>
    </x:row>
  </x:sheetData>
  <x:mergeCells>
    <x:mergeCell ref="A2:C2"/>
    <x:mergeCell ref="A3:C3"/>
    <x:mergeCell ref="A11:C11"/>
    <x:mergeCell ref="A27:C27"/>
    <x:mergeCell ref="A28:C30"/>
    <x:mergeCell ref="A32:C32"/>
    <x:mergeCell ref="A34:C36"/>
  </x:mergeCells>
  <x:conditionalFormatting sqref="B14:C24">
    <x:cfRule type="containsText" dxfId="3" priority="1" operator="containsText" text="Pendiente"/>
  </x:conditionalFormatting>
  <x:dataValidations count="2">
    <x:dataValidation type="list" sqref="B17">
      <x:formula1>"No,Sí"</x:formula1>
    </x:dataValidation>
    <x:dataValidation type="list" sqref="C17">
      <x:formula1>"No,Sí"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2" hidden="0" customWidth="1"/>
    <x:col min="3" max="3" width="12" hidden="0" customWidth="1"/>
    <x:col min="4" max="4" width="10" hidden="0" customWidth="1"/>
    <x:col min="5" max="5" width="13" hidden="0" customWidth="1"/>
    <x:col min="6" max="6" width="17" hidden="0" customWidth="1"/>
    <x:col min="7" max="7" width="18" hidden="0" customWidth="1"/>
    <x:col min="8" max="8" width="17" hidden="0" customWidth="1"/>
    <x:col min="9" max="9" width="18" hidden="0" customWidth="1"/>
    <x:col min="10" max="10" width="12" hidden="0" customWidth="1"/>
    <x:col min="11" max="11" width="65" hidden="0" customWidth="1"/>
    <x:col min="12" max="12" width="26" hidden="0" customWidth="1"/>
    <x:col min="13" max="13" width="24" hidden="0" customWidth="1"/>
    <x:col min="14" max="14" width="28" hidden="0" customWidth="1"/>
    <x:col min="15" max="15" width="65" hidden="0" customWidth="1"/>
    <x:col min="16" max="16" width="15" hidden="0" customWidth="1"/>
    <x:col min="17" max="17" width="11" hidden="0" customWidth="1"/>
    <x:col min="18" max="18" width="17" hidden="0" customWidth="1"/>
    <x:col min="19" max="19" width="19" hidden="0" customWidth="1"/>
    <x:col min="20" max="20" width="12" hidden="0" customWidth="1"/>
    <x:col min="21" max="21" width="23" hidden="0" customWidth="1"/>
    <x:col min="22" max="22" width="70" hidden="0" customWidth="1"/>
    <x:col min="23" max="23" width="37" hidden="0" customWidth="1"/>
    <x:col min="24" max="24" width="38" hidden="0" customWidth="1"/>
  </x:cols>
  <x:sheetData>
    <x:row r="1" ht="32" customHeight="1">
      <x:c r="A1" s="4" t="str">
        <x:v>Madrid · lista preliminar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43" customHeight="1">
      <x:c r="A2" s="3" t="str">
        <x:v>Maqueta 1:10 del concepto vigente, 20 cartuchos + 2 repuestos, agua limpia e inventarios ilustrativos. No valida mecánica a carga real.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40" customHeight="1">
      <x:c r="A3" s="3" t="str">
        <x:v>Faltante = Pendiente, nunca cero. Para cotizaciones nuevas, registrar precio/IVA y fuente en Precios; K–X contienen especificaciones y trazabilidad.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3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38" customHeight="1">
      <x:c r="A5" s="6" t="str">
        <x:v>ID</x:v>
      </x:c>
      <x:c r="B5" s="6" t="str">
        <x:v>Función</x:v>
      </x:c>
      <x:c r="C5" s="6" t="str">
        <x:v>Grupo</x:v>
      </x:c>
      <x:c r="D5" s="6" t="str">
        <x:v>Cantidad</x:v>
      </x:c>
      <x:c r="E5" s="6" t="str">
        <x:v>Unidad</x:v>
      </x:c>
      <x:c r="F5" s="6" t="str">
        <x:v>Precio final/u</x:v>
      </x:c>
      <x:c r="G5" s="6" t="str">
        <x:v>Reposición MXN</x:v>
      </x:c>
      <x:c r="H5" s="6" t="str">
        <x:v>Recurso</x:v>
      </x:c>
      <x:c r="I5" s="6" t="str">
        <x:v>Desembolso MXN</x:v>
      </x:c>
      <x:c r="J5" s="6" t="str">
        <x:v>ID precio</x:v>
      </x:c>
      <x:c r="K5" s="6" t="str">
        <x:v>Especificación / condición</x:v>
      </x:c>
      <x:c r="L5" s="6" t="str">
        <x:v>Pieza / plano / ensayo</x:v>
      </x:c>
      <x:c r="M5" s="6" t="str">
        <x:v>Proveedor</x:v>
      </x:c>
      <x:c r="N5" s="6" t="str">
        <x:v>Modelo / SKU</x:v>
      </x:c>
      <x:c r="O5" s="6" t="str">
        <x:v>Fuente de precio</x:v>
      </x:c>
      <x:c r="P5" s="6" t="str">
        <x:v>Fecha consulta</x:v>
      </x:c>
      <x:c r="Q5" s="6" t="str">
        <x:v>Moneda</x:v>
      </x:c>
      <x:c r="R5" s="6" t="str">
        <x:v>Precio público/u</x:v>
      </x:c>
      <x:c r="S5" s="6" t="str">
        <x:v>IVA</x:v>
      </x:c>
      <x:c r="T5" s="6" t="str">
        <x:v>Tasa si excl.</x:v>
      </x:c>
      <x:c r="U5" s="6" t="str">
        <x:v>Plazo</x:v>
      </x:c>
      <x:c r="V5" s="6" t="str">
        <x:v>Alternativa</x:v>
      </x:c>
      <x:c r="W5" s="6" t="str">
        <x:v>Base de cantidad</x:v>
      </x:c>
      <x:c r="X5" s="6" t="str">
        <x:v>Estado de evidencia</x:v>
      </x:c>
    </x:row>
    <x:row r="6" ht="78" customHeight="1">
      <x:c r="A6" s="3" t="str">
        <x:v>D01</x:v>
      </x:c>
      <x:c r="B6" s="3" t="str">
        <x:v>Cartuchos y piezas impresas</x:v>
      </x:c>
      <x:c r="C6" s="3" t="str">
        <x:v>Base</x:v>
      </x:c>
      <x:c r="D6" s="7" t="n">
        <x:v>2</x:v>
      </x:c>
      <x:c r="E6" s="3" t="str">
        <x:v>kg</x:v>
      </x:c>
      <x:c r="F6" s="19" t="n">
        <x:f>IFERROR(VLOOKUP(J6,Precios!$A$6:$M$13,10,FALSE),"Pendiente")</x:f>
        <x:v>346.84</x:v>
      </x:c>
      <x:c r="G6" s="16" t="n">
        <x:f>IF(NOT(ISNUMBER(D6)),"Pendiente",IF(D6&lt;0,"Revisar",IF(D6=0,0,IF(ISNUMBER(F6),ROUND(D6*F6,2),"Pendiente"))))</x:f>
        <x:v>693.68</x:v>
      </x:c>
      <x:c r="H6" s="7" t="str">
        <x:v>Pendiente</x:v>
      </x:c>
      <x:c r="I6" s="16" t="str">
        <x:f>IF(NOT(ISNUMBER(D6)),"Pendiente",IF(D6&lt;0,"Revisar",IF(D6=0,0,IF(H6="Comprar",G6,IF(OR(H6="Propio",H6="Donado",H6="Prestado",H6="Voluntario"),0,"Pendiente")))))</x:f>
        <x:v>Pendiente</x:v>
      </x:c>
      <x:c r="J6" s="7" t="str">
        <x:v>PR01</x:v>
      </x:c>
      <x:c r="K6" s="3" t="str">
        <x:v>Geometría B a 1:10; consumo supuesto hasta laminar; incluye 22 cartuchos y accesorios.</x:v>
      </x:c>
      <x:c r="L6" s="3" t="str">
        <x:v>cartucho/anillo; P02/P03</x:v>
      </x:c>
      <x:c r="M6" s="17" t="str">
        <x:f>IFERROR(VLOOKUP(J6,Precios!$A$6:$M$13,3,FALSE),"Pendiente")</x:f>
        <x:v>3DMarket</x:v>
      </x:c>
      <x:c r="N6" s="17" t="str">
        <x:f>IFERROR(VLOOKUP(J6,Precios!$A$6:$M$13,4,FALSE),"Pendiente")</x:f>
        <x:v>PLA ECO; SKU no publicado</x:v>
      </x:c>
      <x:c r="O6" s="17" t="str">
        <x:f>IFERROR(VLOOKUP(J6,Precios!$A$6:$M$13,11,FALSE),"Pendiente")</x:f>
        <x:v>https://www.3dmarket.mx/p/filamento-pla-economico-azul/</x:v>
      </x:c>
      <x:c r="P6" s="20" t="n">
        <x:f>IFERROR(VLOOKUP(J6,Precios!$A$6:$M$13,9,FALSE),"Pendiente")</x:f>
        <x:v>46285.5</x:v>
      </x:c>
      <x:c r="Q6" s="3" t="str">
        <x:v>MXN</x:v>
      </x:c>
      <x:c r="R6" s="19" t="n">
        <x:f>IFERROR(VLOOKUP(J6,Precios!$A$6:$M$13,5,FALSE),"Pendiente")</x:f>
        <x:v>299</x:v>
      </x:c>
      <x:c r="S6" s="17" t="str">
        <x:f>IFERROR(VLOOKUP(J6,Precios!$A$6:$M$13,7,FALSE),"Pendiente")</x:f>
        <x:v>Excluido</x:v>
      </x:c>
      <x:c r="T6" s="15" t="n">
        <x:f>IF(S6="Excluido",IFERROR(VLOOKUP(J6,Precios!$A$6:$M$13,8,FALSE),"Pendiente"),"No aplica")</x:f>
        <x:v>0.16</x:v>
      </x:c>
      <x:c r="U6" s="3" t="str">
        <x:v>Por confirmar</x:v>
      </x:c>
      <x:c r="V6" s="17" t="str">
        <x:f>IFERROR(VLOOKUP(J6,Precios!$A$6:$M$13,13,FALSE),"Pendiente")</x:f>
        <x:v>Servicio de impresión con material incluido; cotizar sin sumar también PR01.</x:v>
      </x:c>
      <x:c r="W6" s="3" t="str">
        <x:v>Escenario propuesto S4; no inventario</x:v>
      </x:c>
      <x:c r="X6" s="3" t="str">
        <x:v>Precio público; no cotización</x:v>
      </x:c>
    </x:row>
    <x:row r="7" ht="78" customHeight="1">
      <x:c r="A7" s="3" t="str">
        <x:v>D02</x:v>
      </x:c>
      <x:c r="B7" s="3" t="str">
        <x:v>Control local</x:v>
      </x:c>
      <x:c r="C7" s="3" t="str">
        <x:v>Motor</x:v>
      </x:c>
      <x:c r="D7" s="7" t="n">
        <x:v>1</x:v>
      </x:c>
      <x:c r="E7" s="3" t="str">
        <x:v>pieza</x:v>
      </x:c>
      <x:c r="F7" s="19" t="n">
        <x:f>IFERROR(VLOOKUP(J7,Precios!$A$6:$M$13,10,FALSE),"Pendiente")</x:f>
        <x:v>139.2</x:v>
      </x:c>
      <x:c r="G7" s="16" t="n">
        <x:f>IF(NOT(ISNUMBER(D7)),"Pendiente",IF(D7&lt;0,"Revisar",IF(D7=0,0,IF(ISNUMBER(F7),ROUND(D7*F7,2),"Pendiente"))))</x:f>
        <x:v>139.2</x:v>
      </x:c>
      <x:c r="H7" s="7" t="str">
        <x:v>Pendiente</x:v>
      </x:c>
      <x:c r="I7" s="16" t="str">
        <x:f>IF(NOT(ISNUMBER(D7)),"Pendiente",IF(D7&lt;0,"Revisar",IF(D7=0,0,IF(H7="Comprar",G7,IF(OR(H7="Propio",H7="Donado",H7="Prestado",H7="Voluntario"),0,"Pendiente")))))</x:f>
        <x:v>Pendiente</x:v>
      </x:c>
      <x:c r="J7" s="7" t="str">
        <x:v>PR02</x:v>
      </x:c>
      <x:c r="K7" s="3" t="str">
        <x:v>Registro de posición y bloqueo ilustrativo.</x:v>
      </x:c>
      <x:c r="L7" s="3" t="str">
        <x:v>control; S1–S8</x:v>
      </x:c>
      <x:c r="M7" s="17" t="str">
        <x:f>IFERROR(VLOOKUP(J7,Precios!$A$6:$M$13,3,FALSE),"Pendiente")</x:f>
        <x:v>Lionchip</x:v>
      </x:c>
      <x:c r="N7" s="17" t="n">
        <x:f>IFERROR(VLOOKUP(J7,Precios!$A$6:$M$13,4,FALSE),"Pendiente")</x:f>
        <x:v>497</x:v>
      </x:c>
      <x:c r="O7" s="17" t="str">
        <x:f>IFERROR(VLOOKUP(J7,Precios!$A$6:$M$13,11,FALSE),"Pendiente")</x:f>
        <x:v>https://www.lionchipmexico.com/product-page/placa-uno-ch340-entrada-tipo-c-mega328p-con-cable-compatible-con-arduino-ide</x:v>
      </x:c>
      <x:c r="P7" s="20" t="n">
        <x:f>IFERROR(VLOOKUP(J7,Precios!$A$6:$M$13,9,FALSE),"Pendiente")</x:f>
        <x:v>46285.5</x:v>
      </x:c>
      <x:c r="Q7" s="3" t="str">
        <x:v>MXN</x:v>
      </x:c>
      <x:c r="R7" s="19" t="n">
        <x:f>IFERROR(VLOOKUP(J7,Precios!$A$6:$M$13,5,FALSE),"Pendiente")</x:f>
        <x:v>139.2</x:v>
      </x:c>
      <x:c r="S7" s="17" t="str">
        <x:f>IFERROR(VLOOKUP(J7,Precios!$A$6:$M$13,7,FALSE),"Pendiente")</x:f>
        <x:v>Incluido</x:v>
      </x:c>
      <x:c r="T7" s="15" t="str">
        <x:f>IF(S7="Excluido",IFERROR(VLOOKUP(J7,Precios!$A$6:$M$13,8,FALSE),"Pendiente"),"No aplica")</x:f>
        <x:v>No aplica</x:v>
      </x:c>
      <x:c r="U7" s="3" t="str">
        <x:v>Por confirmar</x:v>
      </x:c>
      <x:c r="V7" s="17" t="str">
        <x:f>IFERROR(VLOOKUP(J7,Precios!$A$6:$M$13,13,FALSE),"Pendiente")</x:f>
        <x:v>PR05 ESP32; sustituir, no sumar. Revisar niveles lógicos.</x:v>
      </x:c>
      <x:c r="W7" s="3" t="str">
        <x:v>Escenario propuesto S4; no inventario</x:v>
      </x:c>
      <x:c r="X7" s="3" t="str">
        <x:v>Precio público; no cotización</x:v>
      </x:c>
    </x:row>
    <x:row r="8" ht="78" customHeight="1">
      <x:c r="A8" s="3" t="str">
        <x:v>D03</x:v>
      </x:c>
      <x:c r="B8" s="3" t="str">
        <x:v>Accionamiento maqueta</x:v>
      </x:c>
      <x:c r="C8" s="3" t="str">
        <x:v>Motor</x:v>
      </x:c>
      <x:c r="D8" s="7" t="n">
        <x:v>1</x:v>
      </x:c>
      <x:c r="E8" s="3" t="str">
        <x:v>pieza</x:v>
      </x:c>
      <x:c r="F8" s="19" t="n">
        <x:f>IFERROR(VLOOKUP(J8,Precios!$A$6:$M$13,10,FALSE),"Pendiente")</x:f>
        <x:v>172.84</x:v>
      </x:c>
      <x:c r="G8" s="16" t="n">
        <x:f>IF(NOT(ISNUMBER(D8)),"Pendiente",IF(D8&lt;0,"Revisar",IF(D8=0,0,IF(ISNUMBER(F8),ROUND(D8*F8,2),"Pendiente"))))</x:f>
        <x:v>172.84</x:v>
      </x:c>
      <x:c r="H8" s="7" t="str">
        <x:v>Pendiente</x:v>
      </x:c>
      <x:c r="I8" s="16" t="str">
        <x:f>IF(NOT(ISNUMBER(D8)),"Pendiente",IF(D8&lt;0,"Revisar",IF(D8=0,0,IF(H8="Comprar",G8,IF(OR(H8="Propio",H8="Donado",H8="Prestado",H8="Voluntario"),0,"Pendiente")))))</x:f>
        <x:v>Pendiente</x:v>
      </x:c>
      <x:c r="J8" s="7" t="str">
        <x:v>PR03</x:v>
      </x:c>
      <x:c r="K8" s="3" t="str">
        <x:v>Ensayar con carga real de la maqueta antes de seleccionar.</x:v>
      </x:c>
      <x:c r="L8" s="3" t="str">
        <x:v>anillo</x:v>
      </x:c>
      <x:c r="M8" s="17" t="str">
        <x:f>IFERROR(VLOOKUP(J8,Precios!$A$6:$M$13,3,FALSE),"Pendiente")</x:f>
        <x:v>Lionchip</x:v>
      </x:c>
      <x:c r="N8" s="17" t="n">
        <x:f>IFERROR(VLOOKUP(J8,Precios!$A$6:$M$13,4,FALSE),"Pendiente")</x:f>
        <x:v>458</x:v>
      </x:c>
      <x:c r="O8" s="17" t="str">
        <x:f>IFERROR(VLOOKUP(J8,Precios!$A$6:$M$13,11,FALSE),"Pendiente")</x:f>
        <x:v>https://www.lionchipmexico.com/product-page/17hs3401s-nema-17-motor-a-pasos-3-6kg-cm</x:v>
      </x:c>
      <x:c r="P8" s="20" t="n">
        <x:f>IFERROR(VLOOKUP(J8,Precios!$A$6:$M$13,9,FALSE),"Pendiente")</x:f>
        <x:v>46285.5</x:v>
      </x:c>
      <x:c r="Q8" s="3" t="str">
        <x:v>MXN</x:v>
      </x:c>
      <x:c r="R8" s="19" t="n">
        <x:f>IFERROR(VLOOKUP(J8,Precios!$A$6:$M$13,5,FALSE),"Pendiente")</x:f>
        <x:v>172.84</x:v>
      </x:c>
      <x:c r="S8" s="17" t="str">
        <x:f>IFERROR(VLOOKUP(J8,Precios!$A$6:$M$13,7,FALSE),"Pendiente")</x:f>
        <x:v>Incluido</x:v>
      </x:c>
      <x:c r="T8" s="15" t="str">
        <x:f>IF(S8="Excluido",IFERROR(VLOOKUP(J8,Precios!$A$6:$M$13,8,FALSE),"Pendiente"),"No aplica")</x:f>
        <x:v>No aplica</x:v>
      </x:c>
      <x:c r="U8" s="3" t="str">
        <x:v>Por confirmar</x:v>
      </x:c>
      <x:c r="V8" s="17" t="str">
        <x:f>IFERROR(VLOOKUP(J8,Precios!$A$6:$M$13,13,FALSE),"Pendiente")</x:f>
        <x:v>NEMA17 Teckali: https://www.teckali.com/productos/motor-a-pasos-nema-17/ ; 267 con símbolo $, moneda/IVA y modelo por confirmar; no integrado en sumas.</x:v>
      </x:c>
      <x:c r="W8" s="3" t="str">
        <x:v>Escenario propuesto S4; no inventario</x:v>
      </x:c>
      <x:c r="X8" s="3" t="str">
        <x:v>Precio público; no cotización</x:v>
      </x:c>
    </x:row>
    <x:row r="9" ht="78" customHeight="1">
      <x:c r="A9" s="3" t="str">
        <x:v>D04</x:v>
      </x:c>
      <x:c r="B9" s="3" t="str">
        <x:v>Control de motor</x:v>
      </x:c>
      <x:c r="C9" s="3" t="str">
        <x:v>Motor</x:v>
      </x:c>
      <x:c r="D9" s="7" t="n">
        <x:v>1</x:v>
      </x:c>
      <x:c r="E9" s="3" t="str">
        <x:v>pieza</x:v>
      </x:c>
      <x:c r="F9" s="19" t="n">
        <x:f>IFERROR(VLOOKUP(J9,Precios!$A$6:$M$13,10,FALSE),"Pendiente")</x:f>
        <x:v>45.24</x:v>
      </x:c>
      <x:c r="G9" s="16" t="n">
        <x:f>IF(NOT(ISNUMBER(D9)),"Pendiente",IF(D9&lt;0,"Revisar",IF(D9=0,0,IF(ISNUMBER(F9),ROUND(D9*F9,2),"Pendiente"))))</x:f>
        <x:v>45.24</x:v>
      </x:c>
      <x:c r="H9" s="7" t="str">
        <x:v>Pendiente</x:v>
      </x:c>
      <x:c r="I9" s="16" t="str">
        <x:f>IF(NOT(ISNUMBER(D9)),"Pendiente",IF(D9&lt;0,"Revisar",IF(D9=0,0,IF(H9="Comprar",G9,IF(OR(H9="Propio",H9="Donado",H9="Prestado",H9="Voluntario"),0,"Pendiente")))))</x:f>
        <x:v>Pendiente</x:v>
      </x:c>
      <x:c r="J9" s="7" t="str">
        <x:v>PR04</x:v>
      </x:c>
      <x:c r="K9" s="3" t="str">
        <x:v>Refrigeración y corriente por verificar.</x:v>
      </x:c>
      <x:c r="L9" s="3" t="str">
        <x:v>anillo</x:v>
      </x:c>
      <x:c r="M9" s="17" t="str">
        <x:f>IFERROR(VLOOKUP(J9,Precios!$A$6:$M$13,3,FALSE),"Pendiente")</x:f>
        <x:v>Lionchip</x:v>
      </x:c>
      <x:c r="N9" s="17" t="n">
        <x:f>IFERROR(VLOOKUP(J9,Precios!$A$6:$M$13,4,FALSE),"Pendiente")</x:f>
        <x:v>361</x:v>
      </x:c>
      <x:c r="O9" s="17" t="str">
        <x:f>IFERROR(VLOOKUP(J9,Precios!$A$6:$M$13,11,FALSE),"Pendiente")</x:f>
        <x:v>https://www.lionchipmexico.com/product-page/a4988-controlador-motor-de-pasos</x:v>
      </x:c>
      <x:c r="P9" s="20" t="n">
        <x:f>IFERROR(VLOOKUP(J9,Precios!$A$6:$M$13,9,FALSE),"Pendiente")</x:f>
        <x:v>46285.5</x:v>
      </x:c>
      <x:c r="Q9" s="3" t="str">
        <x:v>MXN</x:v>
      </x:c>
      <x:c r="R9" s="19" t="n">
        <x:f>IFERROR(VLOOKUP(J9,Precios!$A$6:$M$13,5,FALSE),"Pendiente")</x:f>
        <x:v>45.24</x:v>
      </x:c>
      <x:c r="S9" s="17" t="str">
        <x:f>IFERROR(VLOOKUP(J9,Precios!$A$6:$M$13,7,FALSE),"Pendiente")</x:f>
        <x:v>Incluido</x:v>
      </x:c>
      <x:c r="T9" s="15" t="str">
        <x:f>IF(S9="Excluido",IFERROR(VLOOKUP(J9,Precios!$A$6:$M$13,8,FALSE),"Pendiente"),"No aplica")</x:f>
        <x:v>No aplica</x:v>
      </x:c>
      <x:c r="U9" s="3" t="str">
        <x:v>Por confirmar</x:v>
      </x:c>
      <x:c r="V9" s="17" t="str">
        <x:f>IFERROR(VLOOKUP(J9,Precios!$A$6:$M$13,13,FALSE),"Pendiente")</x:f>
        <x:v>Indexado manual; si se motoriza, cotizar segundo driver compatible.</x:v>
      </x:c>
      <x:c r="W9" s="3" t="str">
        <x:v>Escenario propuesto S4; no inventario</x:v>
      </x:c>
      <x:c r="X9" s="3" t="str">
        <x:v>Precio público; no cotización</x:v>
      </x:c>
    </x:row>
    <x:row r="10" ht="78" customHeight="1">
      <x:c r="A10" s="3" t="str">
        <x:v>D05</x:v>
      </x:c>
      <x:c r="B10" s="3" t="str">
        <x:v>Agua limpia demostrativa</x:v>
      </x:c>
      <x:c r="C10" s="3" t="str">
        <x:v>Agua</x:v>
      </x:c>
      <x:c r="D10" s="7" t="n">
        <x:v>1</x:v>
      </x:c>
      <x:c r="E10" s="3" t="str">
        <x:v>pieza</x:v>
      </x:c>
      <x:c r="F10" s="19" t="str">
        <x:f>IFERROR(VLOOKUP(J10,Precios!$A$6:$M$13,10,FALSE),"Pendiente")</x:f>
        <x:v>Pendiente</x:v>
      </x:c>
      <x:c r="G10" s="16" t="str">
        <x:f>IF(NOT(ISNUMBER(D10)),"Pendiente",IF(D10&lt;0,"Revisar",IF(D10=0,0,IF(ISNUMBER(F10),ROUND(D10*F10,2),"Pendiente"))))</x:f>
        <x:v>Pendiente</x:v>
      </x:c>
      <x:c r="H10" s="7" t="str">
        <x:v>Pendiente</x:v>
      </x:c>
      <x:c r="I10" s="16" t="str">
        <x:f>IF(NOT(ISNUMBER(D10)),"Pendiente",IF(D10&lt;0,"Revisar",IF(D10=0,0,IF(H10="Comprar",G10,IF(OR(H10="Propio",H10="Donado",H10="Prestado",H10="Voluntario"),0,"Pendiente")))))</x:f>
        <x:v>Pendiente</x:v>
      </x:c>
      <x:c r="J10" s="7" t="str">
        <x:v>PR06</x:v>
      </x:c>
      <x:c r="K10" s="3" t="str">
        <x:v>Circuito a baja altura; no para reactor ni circuito sanitario.</x:v>
      </x:c>
      <x:c r="L10" s="3" t="str">
        <x:v>colector de riego</x:v>
      </x:c>
      <x:c r="M10" s="17" t="str">
        <x:f>IFERROR(VLOOKUP(J10,Precios!$A$6:$M$13,3,FALSE),"Pendiente")</x:f>
        <x:v>Steren</x:v>
      </x:c>
      <x:c r="N10" s="17" t="str">
        <x:f>IFERROR(VLOOKUP(J10,Precios!$A$6:$M$13,4,FALSE),"Pendiente")</x:f>
        <x:v>MOT-300</x:v>
      </x:c>
      <x:c r="O10" s="17" t="str">
        <x:f>IFERROR(VLOOKUP(J10,Precios!$A$6:$M$13,11,FALSE),"Pendiente")</x:f>
        <x:v>https://www.steren.com.mx/micro-bomba-de-agua-con-flujo-de-80-120-l-h.html</x:v>
      </x:c>
      <x:c r="P10" s="20" t="n">
        <x:f>IFERROR(VLOOKUP(J10,Precios!$A$6:$M$13,9,FALSE),"Pendiente")</x:f>
        <x:v>46285.5</x:v>
      </x:c>
      <x:c r="Q10" s="3" t="str">
        <x:v>MXN</x:v>
      </x:c>
      <x:c r="R10" s="19" t="n">
        <x:f>IFERROR(VLOOKUP(J10,Precios!$A$6:$M$13,5,FALSE),"Pendiente")</x:f>
        <x:v>49</x:v>
      </x:c>
      <x:c r="S10" s="17" t="str">
        <x:f>IFERROR(VLOOKUP(J10,Precios!$A$6:$M$13,7,FALSE),"Pendiente")</x:f>
        <x:v>Por confirmar</x:v>
      </x:c>
      <x:c r="T10" s="15" t="str">
        <x:f>IF(S10="Excluido",IFERROR(VLOOKUP(J10,Precios!$A$6:$M$13,8,FALSE),"Pendiente"),"No aplica")</x:f>
        <x:v>No aplica</x:v>
      </x:c>
      <x:c r="U10" s="3" t="str">
        <x:v>Por confirmar</x:v>
      </x:c>
      <x:c r="V10" s="17" t="str">
        <x:f>IFERROR(VLOOKUP(J10,Precios!$A$6:$M$13,13,FALSE),"Pendiente")</x:f>
        <x:v>Depósito elevado y válvula manual para banco; no prueba automatización.</x:v>
      </x:c>
      <x:c r="W10" s="3" t="str">
        <x:v>Escenario propuesto S4; no inventario</x:v>
      </x:c>
      <x:c r="X10" s="3" t="str">
        <x:v>Precio público; no cotización</x:v>
      </x:c>
    </x:row>
    <x:row r="11" ht="78" customHeight="1">
      <x:c r="A11" s="3" t="str">
        <x:v>D06</x:v>
      </x:c>
      <x:c r="B11" s="3" t="str">
        <x:v>Medición de agua</x:v>
      </x:c>
      <x:c r="C11" s="3" t="str">
        <x:v>Agua</x:v>
      </x:c>
      <x:c r="D11" s="7" t="n">
        <x:v>1</x:v>
      </x:c>
      <x:c r="E11" s="3" t="str">
        <x:v>pieza</x:v>
      </x:c>
      <x:c r="F11" s="19" t="str">
        <x:f>IFERROR(VLOOKUP(J11,Precios!$A$6:$M$13,10,FALSE),"Pendiente")</x:f>
        <x:v>Pendiente</x:v>
      </x:c>
      <x:c r="G11" s="16" t="str">
        <x:f>IF(NOT(ISNUMBER(D11)),"Pendiente",IF(D11&lt;0,"Revisar",IF(D11=0,0,IF(ISNUMBER(F11),ROUND(D11*F11,2),"Pendiente"))))</x:f>
        <x:v>Pendiente</x:v>
      </x:c>
      <x:c r="H11" s="7" t="str">
        <x:v>Pendiente</x:v>
      </x:c>
      <x:c r="I11" s="16" t="str">
        <x:f>IF(NOT(ISNUMBER(D11)),"Pendiente",IF(D11&lt;0,"Revisar",IF(D11=0,0,IF(H11="Comprar",G11,IF(OR(H11="Propio",H11="Donado",H11="Prestado",H11="Voluntario"),0,"Pendiente")))))</x:f>
        <x:v>Pendiente</x:v>
      </x:c>
      <x:c r="J11" s="7" t="str">
        <x:v>PR07</x:v>
      </x:c>
      <x:c r="K11" s="3" t="str">
        <x:v>Alícuotas hasta 5 kg; calibración separada.</x:v>
      </x:c>
      <x:c r="L11" s="3" t="str">
        <x:v>E2</x:v>
      </x:c>
      <x:c r="M11" s="17" t="str">
        <x:f>IFERROR(VLOOKUP(J11,Precios!$A$6:$M$13,3,FALSE),"Pendiente")</x:f>
        <x:v>Steren</x:v>
      </x:c>
      <x:c r="N11" s="17" t="str">
        <x:f>IFERROR(VLOOKUP(J11,Precios!$A$6:$M$13,4,FALSE),"Pendiente")</x:f>
        <x:v>MED-400</x:v>
      </x:c>
      <x:c r="O11" s="17" t="str">
        <x:f>IFERROR(VLOOKUP(J11,Precios!$A$6:$M$13,11,FALSE),"Pendiente")</x:f>
        <x:v>https://www.steren.com.mx/bascula-digital-gramera-cinetica-hasta-5-kg.html</x:v>
      </x:c>
      <x:c r="P11" s="20" t="n">
        <x:f>IFERROR(VLOOKUP(J11,Precios!$A$6:$M$13,9,FALSE),"Pendiente")</x:f>
        <x:v>46285.5</x:v>
      </x:c>
      <x:c r="Q11" s="3" t="str">
        <x:v>MXN</x:v>
      </x:c>
      <x:c r="R11" s="19" t="n">
        <x:f>IFERROR(VLOOKUP(J11,Precios!$A$6:$M$13,5,FALSE),"Pendiente")</x:f>
        <x:v>399</x:v>
      </x:c>
      <x:c r="S11" s="17" t="str">
        <x:f>IFERROR(VLOOKUP(J11,Precios!$A$6:$M$13,7,FALSE),"Pendiente")</x:f>
        <x:v>Por confirmar</x:v>
      </x:c>
      <x:c r="T11" s="15" t="str">
        <x:f>IF(S11="Excluido",IFERROR(VLOOKUP(J11,Precios!$A$6:$M$13,8,FALSE),"Pendiente"),"No aplica")</x:f>
        <x:v>No aplica</x:v>
      </x:c>
      <x:c r="U11" s="3" t="str">
        <x:v>Por confirmar</x:v>
      </x:c>
      <x:c r="V11" s="17" t="str">
        <x:f>IFERROR(VLOOKUP(J11,Precios!$A$6:$M$13,13,FALSE),"Pendiente")</x:f>
        <x:v>Balanza de laboratorio prestada, disponibilidad y calibración por confirmar.</x:v>
      </x:c>
      <x:c r="W11" s="3" t="str">
        <x:v>Escenario propuesto S4; no inventario</x:v>
      </x:c>
      <x:c r="X11" s="3" t="str">
        <x:v>Precio público; no cotización</x:v>
      </x:c>
    </x:row>
    <x:row r="12" ht="78" customHeight="1">
      <x:c r="A12" s="3" t="str">
        <x:v>D07</x:v>
      </x:c>
      <x:c r="B12" s="3" t="str">
        <x:v>Base, casco en corte y soporte</x:v>
      </x:c>
      <x:c r="C12" s="3" t="str">
        <x:v>Base</x:v>
      </x:c>
      <x:c r="D12" s="7" t="n">
        <x:v>1</x:v>
      </x:c>
      <x:c r="E12" s="3" t="str">
        <x:v>conjunto</x:v>
      </x:c>
      <x:c r="F12" s="19" t="str">
        <x:f>IFERROR(VLOOKUP(J12,Precios!$A$6:$M$13,10,FALSE),"Pendiente")</x:f>
        <x:v>Pendiente</x:v>
      </x:c>
      <x:c r="G12" s="16" t="str">
        <x:f>IF(NOT(ISNUMBER(D12)),"Pendiente",IF(D12&lt;0,"Revisar",IF(D12=0,0,IF(ISNUMBER(F12),ROUND(D12*F12,2),"Pendiente"))))</x:f>
        <x:v>Pendiente</x:v>
      </x:c>
      <x:c r="H12" s="7" t="str">
        <x:v>Pendiente</x:v>
      </x:c>
      <x:c r="I12" s="16" t="str">
        <x:f>IF(NOT(ISNUMBER(D12)),"Pendiente",IF(D12&lt;0,"Revisar",IF(D12=0,0,IF(H12="Comprar",G12,IF(OR(H12="Propio",H12="Donado",H12="Prestado",H12="Voluntario"),0,"Pendiente")))))</x:f>
        <x:v>Pendiente</x:v>
      </x:c>
      <x:c r="J12" s="7" t="str"/>
      <x:c r="K12" s="3" t="str">
        <x:v>Ø nominal 456 mm; material y espesores tras plano S5; soporte no presurizado.</x:v>
      </x:c>
      <x:c r="L12" s="3" t="str">
        <x:v>casco/piso</x:v>
      </x:c>
      <x:c r="M12" s="17" t="str">
        <x:f>IFERROR(VLOOKUP(J12,Precios!$A$6:$M$13,3,FALSE),"Pendiente")</x:f>
        <x:v>Pendiente</x:v>
      </x:c>
      <x:c r="N12" s="17" t="str">
        <x:f>IFERROR(VLOOKUP(J12,Precios!$A$6:$M$13,4,FALSE),"Pendiente")</x:f>
        <x:v>Pendiente</x:v>
      </x:c>
      <x:c r="O12" s="17" t="str">
        <x:f>IFERROR(VLOOKUP(J12,Precios!$A$6:$M$13,11,FALSE),"Pendiente")</x:f>
        <x:v>Pendiente</x:v>
      </x:c>
      <x:c r="P12" s="20" t="str">
        <x:f>IFERROR(VLOOKUP(J12,Precios!$A$6:$M$13,9,FALSE),"Pendiente")</x:f>
        <x:v>Pendiente</x:v>
      </x:c>
      <x:c r="Q12" s="3" t="str">
        <x:v>MXN</x:v>
      </x:c>
      <x:c r="R12" s="19" t="str">
        <x:f>IFERROR(VLOOKUP(J12,Precios!$A$6:$M$13,5,FALSE),"Pendiente")</x:f>
        <x:v>Pendiente</x:v>
      </x:c>
      <x:c r="S12" s="17" t="str">
        <x:f>IFERROR(VLOOKUP(J12,Precios!$A$6:$M$13,7,FALSE),"Pendiente")</x:f>
        <x:v>Pendiente</x:v>
      </x:c>
      <x:c r="T12" s="15" t="str">
        <x:f>IF(S12="Excluido",IFERROR(VLOOKUP(J12,Precios!$A$6:$M$13,8,FALSE),"Pendiente"),"No aplica")</x:f>
        <x:v>No aplica</x:v>
      </x:c>
      <x:c r="U12" s="3" t="str">
        <x:v>Por confirmar</x:v>
      </x:c>
      <x:c r="V12" s="17" t="str">
        <x:f>IFERROR(VLOOKUP(J12,Precios!$A$6:$M$13,13,FALSE),"Pendiente")</x:f>
        <x:v>Pendiente</x:v>
      </x:c>
      <x:c r="W12" s="3" t="str">
        <x:v>Escenario propuesto S4; no inventario</x:v>
      </x:c>
      <x:c r="X12" s="3" t="str">
        <x:v>Pendiente de cotizar</x:v>
      </x:c>
    </x:row>
    <x:row r="13" ht="78" customHeight="1">
      <x:c r="A13" s="3" t="str">
        <x:v>D08</x:v>
      </x:c>
      <x:c r="B13" s="3" t="str">
        <x:v>Correa, reducción, apoyos y bloqueo</x:v>
      </x:c>
      <x:c r="C13" s="3" t="str">
        <x:v>Motor</x:v>
      </x:c>
      <x:c r="D13" s="7" t="n">
        <x:v>1</x:v>
      </x:c>
      <x:c r="E13" s="3" t="str">
        <x:v>conjunto</x:v>
      </x:c>
      <x:c r="F13" s="19" t="str">
        <x:f>IFERROR(VLOOKUP(J13,Precios!$A$6:$M$13,10,FALSE),"Pendiente")</x:f>
        <x:v>Pendiente</x:v>
      </x:c>
      <x:c r="G13" s="16" t="str">
        <x:f>IF(NOT(ISNUMBER(D13)),"Pendiente",IF(D13&lt;0,"Revisar",IF(D13=0,0,IF(ISNUMBER(F13),ROUND(D13*F13,2),"Pendiente"))))</x:f>
        <x:v>Pendiente</x:v>
      </x:c>
      <x:c r="H13" s="7" t="str">
        <x:v>Pendiente</x:v>
      </x:c>
      <x:c r="I13" s="16" t="str">
        <x:f>IF(NOT(ISNUMBER(D13)),"Pendiente",IF(D13&lt;0,"Revisar",IF(D13=0,0,IF(H13="Comprar",G13,IF(OR(H13="Propio",H13="Donado",H13="Prestado",H13="Voluntario"),0,"Pendiente")))))</x:f>
        <x:v>Pendiente</x:v>
      </x:c>
      <x:c r="J13" s="7" t="str"/>
      <x:c r="K13" s="3" t="str">
        <x:v>Geometría/mecanismo pendientes; incluir guardas y finales de carrera.</x:v>
      </x:c>
      <x:c r="L13" s="3" t="str">
        <x:v>anillo; E1</x:v>
      </x:c>
      <x:c r="M13" s="17" t="str">
        <x:f>IFERROR(VLOOKUP(J13,Precios!$A$6:$M$13,3,FALSE),"Pendiente")</x:f>
        <x:v>Pendiente</x:v>
      </x:c>
      <x:c r="N13" s="17" t="str">
        <x:f>IFERROR(VLOOKUP(J13,Precios!$A$6:$M$13,4,FALSE),"Pendiente")</x:f>
        <x:v>Pendiente</x:v>
      </x:c>
      <x:c r="O13" s="17" t="str">
        <x:f>IFERROR(VLOOKUP(J13,Precios!$A$6:$M$13,11,FALSE),"Pendiente")</x:f>
        <x:v>Pendiente</x:v>
      </x:c>
      <x:c r="P13" s="20" t="str">
        <x:f>IFERROR(VLOOKUP(J13,Precios!$A$6:$M$13,9,FALSE),"Pendiente")</x:f>
        <x:v>Pendiente</x:v>
      </x:c>
      <x:c r="Q13" s="3" t="str">
        <x:v>MXN</x:v>
      </x:c>
      <x:c r="R13" s="19" t="str">
        <x:f>IFERROR(VLOOKUP(J13,Precios!$A$6:$M$13,5,FALSE),"Pendiente")</x:f>
        <x:v>Pendiente</x:v>
      </x:c>
      <x:c r="S13" s="17" t="str">
        <x:f>IFERROR(VLOOKUP(J13,Precios!$A$6:$M$13,7,FALSE),"Pendiente")</x:f>
        <x:v>Pendiente</x:v>
      </x:c>
      <x:c r="T13" s="15" t="str">
        <x:f>IF(S13="Excluido",IFERROR(VLOOKUP(J13,Precios!$A$6:$M$13,8,FALSE),"Pendiente"),"No aplica")</x:f>
        <x:v>No aplica</x:v>
      </x:c>
      <x:c r="U13" s="3" t="str">
        <x:v>Por confirmar</x:v>
      </x:c>
      <x:c r="V13" s="17" t="str">
        <x:f>IFERROR(VLOOKUP(J13,Precios!$A$6:$M$13,13,FALSE),"Pendiente")</x:f>
        <x:v>Pendiente</x:v>
      </x:c>
      <x:c r="W13" s="3" t="str">
        <x:v>Escenario propuesto S4; no inventario</x:v>
      </x:c>
      <x:c r="X13" s="3" t="str">
        <x:v>Pendiente de cotizar</x:v>
      </x:c>
    </x:row>
    <x:row r="14" ht="78" customHeight="1">
      <x:c r="A14" s="3" t="str">
        <x:v>D09</x:v>
      </x:c>
      <x:c r="B14" s="3" t="str">
        <x:v>Alimentación, cableado y protecciones</x:v>
      </x:c>
      <x:c r="C14" s="3" t="str">
        <x:v>Motor</x:v>
      </x:c>
      <x:c r="D14" s="7" t="n">
        <x:v>1</x:v>
      </x:c>
      <x:c r="E14" s="3" t="str">
        <x:v>conjunto</x:v>
      </x:c>
      <x:c r="F14" s="19" t="str">
        <x:f>IFERROR(VLOOKUP(J14,Precios!$A$6:$M$13,10,FALSE),"Pendiente")</x:f>
        <x:v>Pendiente</x:v>
      </x:c>
      <x:c r="G14" s="16" t="str">
        <x:f>IF(NOT(ISNUMBER(D14)),"Pendiente",IF(D14&lt;0,"Revisar",IF(D14=0,0,IF(ISNUMBER(F14),ROUND(D14*F14,2),"Pendiente"))))</x:f>
        <x:v>Pendiente</x:v>
      </x:c>
      <x:c r="H14" s="7" t="str">
        <x:v>Pendiente</x:v>
      </x:c>
      <x:c r="I14" s="16" t="str">
        <x:f>IF(NOT(ISNUMBER(D14)),"Pendiente",IF(D14&lt;0,"Revisar",IF(D14=0,0,IF(H14="Comprar",G14,IF(OR(H14="Propio",H14="Donado",H14="Prestado",H14="Voluntario"),0,"Pendiente")))))</x:f>
        <x:v>Pendiente</x:v>
      </x:c>
      <x:c r="J14" s="7" t="str"/>
      <x:c r="K14" s="3" t="str">
        <x:v>Fuentes aisladas 12 V y 5 V según cargas; corte manual y caja.</x:v>
      </x:c>
      <x:c r="L14" s="3" t="str">
        <x:v>control</x:v>
      </x:c>
      <x:c r="M14" s="17" t="str">
        <x:f>IFERROR(VLOOKUP(J14,Precios!$A$6:$M$13,3,FALSE),"Pendiente")</x:f>
        <x:v>Pendiente</x:v>
      </x:c>
      <x:c r="N14" s="17" t="str">
        <x:f>IFERROR(VLOOKUP(J14,Precios!$A$6:$M$13,4,FALSE),"Pendiente")</x:f>
        <x:v>Pendiente</x:v>
      </x:c>
      <x:c r="O14" s="17" t="str">
        <x:f>IFERROR(VLOOKUP(J14,Precios!$A$6:$M$13,11,FALSE),"Pendiente")</x:f>
        <x:v>Pendiente</x:v>
      </x:c>
      <x:c r="P14" s="20" t="str">
        <x:f>IFERROR(VLOOKUP(J14,Precios!$A$6:$M$13,9,FALSE),"Pendiente")</x:f>
        <x:v>Pendiente</x:v>
      </x:c>
      <x:c r="Q14" s="3" t="str">
        <x:v>MXN</x:v>
      </x:c>
      <x:c r="R14" s="19" t="str">
        <x:f>IFERROR(VLOOKUP(J14,Precios!$A$6:$M$13,5,FALSE),"Pendiente")</x:f>
        <x:v>Pendiente</x:v>
      </x:c>
      <x:c r="S14" s="17" t="str">
        <x:f>IFERROR(VLOOKUP(J14,Precios!$A$6:$M$13,7,FALSE),"Pendiente")</x:f>
        <x:v>Pendiente</x:v>
      </x:c>
      <x:c r="T14" s="15" t="str">
        <x:f>IF(S14="Excluido",IFERROR(VLOOKUP(J14,Precios!$A$6:$M$13,8,FALSE),"Pendiente"),"No aplica")</x:f>
        <x:v>No aplica</x:v>
      </x:c>
      <x:c r="U14" s="3" t="str">
        <x:v>Por confirmar</x:v>
      </x:c>
      <x:c r="V14" s="17" t="str">
        <x:f>IFERROR(VLOOKUP(J14,Precios!$A$6:$M$13,13,FALSE),"Pendiente")</x:f>
        <x:v>Pendiente</x:v>
      </x:c>
      <x:c r="W14" s="3" t="str">
        <x:v>Escenario propuesto S4; no inventario</x:v>
      </x:c>
      <x:c r="X14" s="3" t="str">
        <x:v>Pendiente de cotizar</x:v>
      </x:c>
    </x:row>
    <x:row r="15" ht="78" customHeight="1">
      <x:c r="A15" s="3" t="str">
        <x:v>D10</x:v>
      </x:c>
      <x:c r="B15" s="3" t="str">
        <x:v>Tubos, recipientes y aislamiento</x:v>
      </x:c>
      <x:c r="C15" s="3" t="str">
        <x:v>Agua</x:v>
      </x:c>
      <x:c r="D15" s="7" t="n">
        <x:v>1</x:v>
      </x:c>
      <x:c r="E15" s="3" t="str">
        <x:v>conjunto</x:v>
      </x:c>
      <x:c r="F15" s="19" t="str">
        <x:f>IFERROR(VLOOKUP(J15,Precios!$A$6:$M$13,10,FALSE),"Pendiente")</x:f>
        <x:v>Pendiente</x:v>
      </x:c>
      <x:c r="G15" s="16" t="str">
        <x:f>IF(NOT(ISNUMBER(D15)),"Pendiente",IF(D15&lt;0,"Revisar",IF(D15=0,0,IF(ISNUMBER(F15),ROUND(D15*F15,2),"Pendiente"))))</x:f>
        <x:v>Pendiente</x:v>
      </x:c>
      <x:c r="H15" s="7" t="str">
        <x:v>Pendiente</x:v>
      </x:c>
      <x:c r="I15" s="16" t="str">
        <x:f>IF(NOT(ISNUMBER(D15)),"Pendiente",IF(D15&lt;0,"Revisar",IF(D15=0,0,IF(H15="Comprar",G15,IF(OR(H15="Propio",H15="Donado",H15="Prestado",H15="Voluntario"),0,"Pendiente")))))</x:f>
        <x:v>Pendiente</x:v>
      </x:c>
      <x:c r="J15" s="7" t="str"/>
      <x:c r="K15" s="3" t="str">
        <x:v>Compatibles con agua; 2 recipientes desmontables y válvula manual; longitud por plano.</x:v>
      </x:c>
      <x:c r="L15" s="3" t="str">
        <x:v>S1; riego; E3</x:v>
      </x:c>
      <x:c r="M15" s="17" t="str">
        <x:f>IFERROR(VLOOKUP(J15,Precios!$A$6:$M$13,3,FALSE),"Pendiente")</x:f>
        <x:v>Pendiente</x:v>
      </x:c>
      <x:c r="N15" s="17" t="str">
        <x:f>IFERROR(VLOOKUP(J15,Precios!$A$6:$M$13,4,FALSE),"Pendiente")</x:f>
        <x:v>Pendiente</x:v>
      </x:c>
      <x:c r="O15" s="17" t="str">
        <x:f>IFERROR(VLOOKUP(J15,Precios!$A$6:$M$13,11,FALSE),"Pendiente")</x:f>
        <x:v>Pendiente</x:v>
      </x:c>
      <x:c r="P15" s="20" t="str">
        <x:f>IFERROR(VLOOKUP(J15,Precios!$A$6:$M$13,9,FALSE),"Pendiente")</x:f>
        <x:v>Pendiente</x:v>
      </x:c>
      <x:c r="Q15" s="3" t="str">
        <x:v>MXN</x:v>
      </x:c>
      <x:c r="R15" s="19" t="str">
        <x:f>IFERROR(VLOOKUP(J15,Precios!$A$6:$M$13,5,FALSE),"Pendiente")</x:f>
        <x:v>Pendiente</x:v>
      </x:c>
      <x:c r="S15" s="17" t="str">
        <x:f>IFERROR(VLOOKUP(J15,Precios!$A$6:$M$13,7,FALSE),"Pendiente")</x:f>
        <x:v>Pendiente</x:v>
      </x:c>
      <x:c r="T15" s="15" t="str">
        <x:f>IF(S15="Excluido",IFERROR(VLOOKUP(J15,Precios!$A$6:$M$13,8,FALSE),"Pendiente"),"No aplica")</x:f>
        <x:v>No aplica</x:v>
      </x:c>
      <x:c r="U15" s="3" t="str">
        <x:v>Por confirmar</x:v>
      </x:c>
      <x:c r="V15" s="17" t="str">
        <x:f>IFERROR(VLOOKUP(J15,Precios!$A$6:$M$13,13,FALSE),"Pendiente")</x:f>
        <x:v>Pendiente</x:v>
      </x:c>
      <x:c r="W15" s="3" t="str">
        <x:v>Escenario propuesto S4; no inventario</x:v>
      </x:c>
      <x:c r="X15" s="3" t="str">
        <x:v>Pendiente de cotizar</x:v>
      </x:c>
    </x:row>
    <x:row r="16" ht="78" customHeight="1">
      <x:c r="A16" s="3" t="str">
        <x:v>D11</x:v>
      </x:c>
      <x:c r="B16" s="3" t="str">
        <x:v>Fabricación e impresión</x:v>
      </x:c>
      <x:c r="C16" s="3" t="str">
        <x:v>Base</x:v>
      </x:c>
      <x:c r="D16" s="7"/>
      <x:c r="E16" s="3" t="str">
        <x:v>h</x:v>
      </x:c>
      <x:c r="F16" s="19" t="str">
        <x:f>IFERROR(VLOOKUP(J16,Precios!$A$6:$M$13,10,FALSE),"Pendiente")</x:f>
        <x:v>Pendiente</x:v>
      </x:c>
      <x:c r="G16" s="16" t="str">
        <x:f>IF(NOT(ISNUMBER(D16)),"Pendiente",IF(D16&lt;0,"Revisar",IF(D16=0,0,IF(ISNUMBER(F16),ROUND(D16*F16,2),"Pendiente"))))</x:f>
        <x:v>Pendiente</x:v>
      </x:c>
      <x:c r="H16" s="7" t="str">
        <x:v>Pendiente</x:v>
      </x:c>
      <x:c r="I16" s="16" t="str">
        <x:f>IF(NOT(ISNUMBER(D16)),"Pendiente",IF(D16&lt;0,"Revisar",IF(D16=0,0,IF(H16="Comprar",G16,IF(OR(H16="Propio",H16="Donado",H16="Prestado",H16="Voluntario"),0,"Pendiente")))))</x:f>
        <x:v>Pendiente</x:v>
      </x:c>
      <x:c r="J16" s="7" t="str"/>
      <x:c r="K16" s="3" t="str">
        <x:v>Horas de máquina sin material, electricidad separada; cotizar después de laminar.</x:v>
      </x:c>
      <x:c r="L16" s="3" t="str">
        <x:v>22 cartuchos</x:v>
      </x:c>
      <x:c r="M16" s="17" t="str">
        <x:f>IFERROR(VLOOKUP(J16,Precios!$A$6:$M$13,3,FALSE),"Pendiente")</x:f>
        <x:v>Pendiente</x:v>
      </x:c>
      <x:c r="N16" s="17" t="str">
        <x:f>IFERROR(VLOOKUP(J16,Precios!$A$6:$M$13,4,FALSE),"Pendiente")</x:f>
        <x:v>Pendiente</x:v>
      </x:c>
      <x:c r="O16" s="17" t="str">
        <x:f>IFERROR(VLOOKUP(J16,Precios!$A$6:$M$13,11,FALSE),"Pendiente")</x:f>
        <x:v>Pendiente</x:v>
      </x:c>
      <x:c r="P16" s="20" t="str">
        <x:f>IFERROR(VLOOKUP(J16,Precios!$A$6:$M$13,9,FALSE),"Pendiente")</x:f>
        <x:v>Pendiente</x:v>
      </x:c>
      <x:c r="Q16" s="3" t="str">
        <x:v>MXN</x:v>
      </x:c>
      <x:c r="R16" s="19" t="str">
        <x:f>IFERROR(VLOOKUP(J16,Precios!$A$6:$M$13,5,FALSE),"Pendiente")</x:f>
        <x:v>Pendiente</x:v>
      </x:c>
      <x:c r="S16" s="17" t="str">
        <x:f>IFERROR(VLOOKUP(J16,Precios!$A$6:$M$13,7,FALSE),"Pendiente")</x:f>
        <x:v>Pendiente</x:v>
      </x:c>
      <x:c r="T16" s="15" t="str">
        <x:f>IF(S16="Excluido",IFERROR(VLOOKUP(J16,Precios!$A$6:$M$13,8,FALSE),"Pendiente"),"No aplica")</x:f>
        <x:v>No aplica</x:v>
      </x:c>
      <x:c r="U16" s="3" t="str">
        <x:v>Por confirmar</x:v>
      </x:c>
      <x:c r="V16" s="17" t="str">
        <x:f>IFERROR(VLOOKUP(J16,Precios!$A$6:$M$13,13,FALSE),"Pendiente")</x:f>
        <x:v>Pendiente</x:v>
      </x:c>
      <x:c r="W16" s="3" t="str">
        <x:v>Escenario propuesto S4; no inventario</x:v>
      </x:c>
      <x:c r="X16" s="3" t="str">
        <x:v>Pendiente de cotizar</x:v>
      </x:c>
    </x:row>
    <x:row r="17" ht="78" customHeight="1">
      <x:c r="A17" s="3" t="str">
        <x:v>D12</x:v>
      </x:c>
      <x:c r="B17" s="3" t="str">
        <x:v>Montaje, firmware y pruebas</x:v>
      </x:c>
      <x:c r="C17" s="3" t="str">
        <x:v>Base</x:v>
      </x:c>
      <x:c r="D17" s="7"/>
      <x:c r="E17" s="3" t="str">
        <x:v>h</x:v>
      </x:c>
      <x:c r="F17" s="19" t="str">
        <x:f>IFERROR(VLOOKUP(J17,Precios!$A$6:$M$13,10,FALSE),"Pendiente")</x:f>
        <x:v>Pendiente</x:v>
      </x:c>
      <x:c r="G17" s="16" t="str">
        <x:f>IF(NOT(ISNUMBER(D17)),"Pendiente",IF(D17&lt;0,"Revisar",IF(D17=0,0,IF(ISNUMBER(F17),ROUND(D17*F17,2),"Pendiente"))))</x:f>
        <x:v>Pendiente</x:v>
      </x:c>
      <x:c r="H17" s="7" t="str">
        <x:v>Pendiente</x:v>
      </x:c>
      <x:c r="I17" s="16" t="str">
        <x:f>IF(NOT(ISNUMBER(D17)),"Pendiente",IF(D17&lt;0,"Revisar",IF(D17=0,0,IF(H17="Comprar",G17,IF(OR(H17="Propio",H17="Donado",H17="Prestado",H17="Voluntario"),0,"Pendiente")))))</x:f>
        <x:v>Pendiente</x:v>
      </x:c>
      <x:c r="J17" s="7" t="str"/>
      <x:c r="K17" s="3" t="str">
        <x:v>Registrar horas voluntarias y tarifa de reemplazo; no asumir coste cero.</x:v>
      </x:c>
      <x:c r="L17" s="3" t="str">
        <x:v>E1–E3</x:v>
      </x:c>
      <x:c r="M17" s="17" t="str">
        <x:f>IFERROR(VLOOKUP(J17,Precios!$A$6:$M$13,3,FALSE),"Pendiente")</x:f>
        <x:v>Pendiente</x:v>
      </x:c>
      <x:c r="N17" s="17" t="str">
        <x:f>IFERROR(VLOOKUP(J17,Precios!$A$6:$M$13,4,FALSE),"Pendiente")</x:f>
        <x:v>Pendiente</x:v>
      </x:c>
      <x:c r="O17" s="17" t="str">
        <x:f>IFERROR(VLOOKUP(J17,Precios!$A$6:$M$13,11,FALSE),"Pendiente")</x:f>
        <x:v>Pendiente</x:v>
      </x:c>
      <x:c r="P17" s="20" t="str">
        <x:f>IFERROR(VLOOKUP(J17,Precios!$A$6:$M$13,9,FALSE),"Pendiente")</x:f>
        <x:v>Pendiente</x:v>
      </x:c>
      <x:c r="Q17" s="3" t="str">
        <x:v>MXN</x:v>
      </x:c>
      <x:c r="R17" s="19" t="str">
        <x:f>IFERROR(VLOOKUP(J17,Precios!$A$6:$M$13,5,FALSE),"Pendiente")</x:f>
        <x:v>Pendiente</x:v>
      </x:c>
      <x:c r="S17" s="17" t="str">
        <x:f>IFERROR(VLOOKUP(J17,Precios!$A$6:$M$13,7,FALSE),"Pendiente")</x:f>
        <x:v>Pendiente</x:v>
      </x:c>
      <x:c r="T17" s="15" t="str">
        <x:f>IF(S17="Excluido",IFERROR(VLOOKUP(J17,Precios!$A$6:$M$13,8,FALSE),"Pendiente"),"No aplica")</x:f>
        <x:v>No aplica</x:v>
      </x:c>
      <x:c r="U17" s="3" t="str">
        <x:v>Por confirmar</x:v>
      </x:c>
      <x:c r="V17" s="17" t="str">
        <x:f>IFERROR(VLOOKUP(J17,Precios!$A$6:$M$13,13,FALSE),"Pendiente")</x:f>
        <x:v>Pendiente</x:v>
      </x:c>
      <x:c r="W17" s="3" t="str">
        <x:v>Escenario propuesto S4; no inventario</x:v>
      </x:c>
      <x:c r="X17" s="3" t="str">
        <x:v>Pendiente de cotizar</x:v>
      </x:c>
    </x:row>
    <x:row r="18" ht="78" customHeight="1">
      <x:c r="A18" s="3" t="str">
        <x:v>D13</x:v>
      </x:c>
      <x:c r="B18" s="3" t="str">
        <x:v>Instrumentos y calibración</x:v>
      </x:c>
      <x:c r="C18" s="3" t="str">
        <x:v>Base</x:v>
      </x:c>
      <x:c r="D18" s="7" t="n">
        <x:v>1</x:v>
      </x:c>
      <x:c r="E18" s="3" t="str">
        <x:v>servicio</x:v>
      </x:c>
      <x:c r="F18" s="19" t="str">
        <x:f>IFERROR(VLOOKUP(J18,Precios!$A$6:$M$13,10,FALSE),"Pendiente")</x:f>
        <x:v>Pendiente</x:v>
      </x:c>
      <x:c r="G18" s="16" t="str">
        <x:f>IF(NOT(ISNUMBER(D18)),"Pendiente",IF(D18&lt;0,"Revisar",IF(D18=0,0,IF(ISNUMBER(F18),ROUND(D18*F18,2),"Pendiente"))))</x:f>
        <x:v>Pendiente</x:v>
      </x:c>
      <x:c r="H18" s="7" t="str">
        <x:v>Pendiente</x:v>
      </x:c>
      <x:c r="I18" s="16" t="str">
        <x:f>IF(NOT(ISNUMBER(D18)),"Pendiente",IF(D18&lt;0,"Revisar",IF(D18=0,0,IF(H18="Comprar",G18,IF(OR(H18="Propio",H18="Donado",H18="Prestado",H18="Voluntario"),0,"Pendiente")))))</x:f>
        <x:v>Pendiente</x:v>
      </x:c>
      <x:c r="J18" s="7" t="str"/>
      <x:c r="K18" s="3" t="str">
        <x:v>Calibre, masas patrón y comprobación eléctrica; préstamo por confirmar.</x:v>
      </x:c>
      <x:c r="L18" s="3" t="str">
        <x:v>E1–E3</x:v>
      </x:c>
      <x:c r="M18" s="17" t="str">
        <x:f>IFERROR(VLOOKUP(J18,Precios!$A$6:$M$13,3,FALSE),"Pendiente")</x:f>
        <x:v>Pendiente</x:v>
      </x:c>
      <x:c r="N18" s="17" t="str">
        <x:f>IFERROR(VLOOKUP(J18,Precios!$A$6:$M$13,4,FALSE),"Pendiente")</x:f>
        <x:v>Pendiente</x:v>
      </x:c>
      <x:c r="O18" s="17" t="str">
        <x:f>IFERROR(VLOOKUP(J18,Precios!$A$6:$M$13,11,FALSE),"Pendiente")</x:f>
        <x:v>Pendiente</x:v>
      </x:c>
      <x:c r="P18" s="20" t="str">
        <x:f>IFERROR(VLOOKUP(J18,Precios!$A$6:$M$13,9,FALSE),"Pendiente")</x:f>
        <x:v>Pendiente</x:v>
      </x:c>
      <x:c r="Q18" s="3" t="str">
        <x:v>MXN</x:v>
      </x:c>
      <x:c r="R18" s="19" t="str">
        <x:f>IFERROR(VLOOKUP(J18,Precios!$A$6:$M$13,5,FALSE),"Pendiente")</x:f>
        <x:v>Pendiente</x:v>
      </x:c>
      <x:c r="S18" s="17" t="str">
        <x:f>IFERROR(VLOOKUP(J18,Precios!$A$6:$M$13,7,FALSE),"Pendiente")</x:f>
        <x:v>Pendiente</x:v>
      </x:c>
      <x:c r="T18" s="15" t="str">
        <x:f>IF(S18="Excluido",IFERROR(VLOOKUP(J18,Precios!$A$6:$M$13,8,FALSE),"Pendiente"),"No aplica")</x:f>
        <x:v>No aplica</x:v>
      </x:c>
      <x:c r="U18" s="3" t="str">
        <x:v>Por confirmar</x:v>
      </x:c>
      <x:c r="V18" s="17" t="str">
        <x:f>IFERROR(VLOOKUP(J18,Precios!$A$6:$M$13,13,FALSE),"Pendiente")</x:f>
        <x:v>Pendiente</x:v>
      </x:c>
      <x:c r="W18" s="3" t="str">
        <x:v>Escenario propuesto S4; no inventario</x:v>
      </x:c>
      <x:c r="X18" s="3" t="str">
        <x:v>Pendiente de cotizar</x:v>
      </x:c>
    </x:row>
    <x:row r="19" ht="78" customHeight="1">
      <x:c r="A19" s="3" t="str">
        <x:v>D14</x:v>
      </x:c>
      <x:c r="B19" s="3" t="str">
        <x:v>Impresión gráfica y embalaje</x:v>
      </x:c>
      <x:c r="C19" s="3" t="str">
        <x:v>Base</x:v>
      </x:c>
      <x:c r="D19" s="7" t="n">
        <x:v>1</x:v>
      </x:c>
      <x:c r="E19" s="3" t="str">
        <x:v>conjunto</x:v>
      </x:c>
      <x:c r="F19" s="19" t="str">
        <x:f>IFERROR(VLOOKUP(J19,Precios!$A$6:$M$13,10,FALSE),"Pendiente")</x:f>
        <x:v>Pendiente</x:v>
      </x:c>
      <x:c r="G19" s="16" t="str">
        <x:f>IF(NOT(ISNUMBER(D19)),"Pendiente",IF(D19&lt;0,"Revisar",IF(D19=0,0,IF(ISNUMBER(F19),ROUND(D19*F19,2),"Pendiente"))))</x:f>
        <x:v>Pendiente</x:v>
      </x:c>
      <x:c r="H19" s="7" t="str">
        <x:v>Pendiente</x:v>
      </x:c>
      <x:c r="I19" s="16" t="str">
        <x:f>IF(NOT(ISNUMBER(D19)),"Pendiente",IF(D19&lt;0,"Revisar",IF(D19=0,0,IF(H19="Comprar",G19,IF(OR(H19="Propio",H19="Donado",H19="Prestado",H19="Voluntario"),0,"Pendiente")))))</x:f>
        <x:v>Pendiente</x:v>
      </x:c>
      <x:c r="J19" s="7" t="str"/>
      <x:c r="K19" s="3" t="str">
        <x:v>Caja amortiguada, placas y manual; tamaño final pendiente S5.</x:v>
      </x:c>
      <x:c r="L19" s="3" t="str">
        <x:v>entrega Madrid</x:v>
      </x:c>
      <x:c r="M19" s="17" t="str">
        <x:f>IFERROR(VLOOKUP(J19,Precios!$A$6:$M$13,3,FALSE),"Pendiente")</x:f>
        <x:v>Pendiente</x:v>
      </x:c>
      <x:c r="N19" s="17" t="str">
        <x:f>IFERROR(VLOOKUP(J19,Precios!$A$6:$M$13,4,FALSE),"Pendiente")</x:f>
        <x:v>Pendiente</x:v>
      </x:c>
      <x:c r="O19" s="17" t="str">
        <x:f>IFERROR(VLOOKUP(J19,Precios!$A$6:$M$13,11,FALSE),"Pendiente")</x:f>
        <x:v>Pendiente</x:v>
      </x:c>
      <x:c r="P19" s="20" t="str">
        <x:f>IFERROR(VLOOKUP(J19,Precios!$A$6:$M$13,9,FALSE),"Pendiente")</x:f>
        <x:v>Pendiente</x:v>
      </x:c>
      <x:c r="Q19" s="3" t="str">
        <x:v>MXN</x:v>
      </x:c>
      <x:c r="R19" s="19" t="str">
        <x:f>IFERROR(VLOOKUP(J19,Precios!$A$6:$M$13,5,FALSE),"Pendiente")</x:f>
        <x:v>Pendiente</x:v>
      </x:c>
      <x:c r="S19" s="17" t="str">
        <x:f>IFERROR(VLOOKUP(J19,Precios!$A$6:$M$13,7,FALSE),"Pendiente")</x:f>
        <x:v>Pendiente</x:v>
      </x:c>
      <x:c r="T19" s="15" t="str">
        <x:f>IF(S19="Excluido",IFERROR(VLOOKUP(J19,Precios!$A$6:$M$13,8,FALSE),"Pendiente"),"No aplica")</x:f>
        <x:v>No aplica</x:v>
      </x:c>
      <x:c r="U19" s="3" t="str">
        <x:v>Por confirmar</x:v>
      </x:c>
      <x:c r="V19" s="17" t="str">
        <x:f>IFERROR(VLOOKUP(J19,Precios!$A$6:$M$13,13,FALSE),"Pendiente")</x:f>
        <x:v>Pendiente</x:v>
      </x:c>
      <x:c r="W19" s="3" t="str">
        <x:v>Escenario propuesto S4; no inventario</x:v>
      </x:c>
      <x:c r="X19" s="3" t="str">
        <x:v>Pendiente de cotizar</x:v>
      </x:c>
    </x:row>
    <x:row r="20" ht="78" customHeight="1">
      <x:c r="A20" s="3" t="str">
        <x:v>D15</x:v>
      </x:c>
      <x:c r="B20" s="3" t="str">
        <x:v>Recursos digitales y energía</x:v>
      </x:c>
      <x:c r="C20" s="3" t="str">
        <x:v>Base</x:v>
      </x:c>
      <x:c r="D20" s="7"/>
      <x:c r="E20" s="3" t="str">
        <x:v>h</x:v>
      </x:c>
      <x:c r="F20" s="19" t="str">
        <x:f>IFERROR(VLOOKUP(J20,Precios!$A$6:$M$13,10,FALSE),"Pendiente")</x:f>
        <x:v>Pendiente</x:v>
      </x:c>
      <x:c r="G20" s="16" t="str">
        <x:f>IF(NOT(ISNUMBER(D20)),"Pendiente",IF(D20&lt;0,"Revisar",IF(D20=0,0,IF(ISNUMBER(F20),ROUND(D20*F20,2),"Pendiente"))))</x:f>
        <x:v>Pendiente</x:v>
      </x:c>
      <x:c r="H20" s="7" t="str">
        <x:v>Pendiente</x:v>
      </x:c>
      <x:c r="I20" s="16" t="str">
        <x:f>IF(NOT(ISNUMBER(D20)),"Pendiente",IF(D20&lt;0,"Revisar",IF(D20=0,0,IF(H20="Comprar",G20,IF(OR(H20="Propio",H20="Donado",H20="Prestado",H20="Voluntario"),0,"Pendiente")))))</x:f>
        <x:v>Pendiente</x:v>
      </x:c>
      <x:c r="J20" s="7" t="str"/>
      <x:c r="K20" s="3" t="str">
        <x:v>Equipo de presentación, edición/exportación y electricidad: inventario y coste atribuible pendientes.</x:v>
      </x:c>
      <x:c r="L20" s="3" t="str">
        <x:v>P3/P5</x:v>
      </x:c>
      <x:c r="M20" s="17" t="str">
        <x:f>IFERROR(VLOOKUP(J20,Precios!$A$6:$M$13,3,FALSE),"Pendiente")</x:f>
        <x:v>Pendiente</x:v>
      </x:c>
      <x:c r="N20" s="17" t="str">
        <x:f>IFERROR(VLOOKUP(J20,Precios!$A$6:$M$13,4,FALSE),"Pendiente")</x:f>
        <x:v>Pendiente</x:v>
      </x:c>
      <x:c r="O20" s="17" t="str">
        <x:f>IFERROR(VLOOKUP(J20,Precios!$A$6:$M$13,11,FALSE),"Pendiente")</x:f>
        <x:v>Pendiente</x:v>
      </x:c>
      <x:c r="P20" s="20" t="str">
        <x:f>IFERROR(VLOOKUP(J20,Precios!$A$6:$M$13,9,FALSE),"Pendiente")</x:f>
        <x:v>Pendiente</x:v>
      </x:c>
      <x:c r="Q20" s="3" t="str">
        <x:v>MXN</x:v>
      </x:c>
      <x:c r="R20" s="19" t="str">
        <x:f>IFERROR(VLOOKUP(J20,Precios!$A$6:$M$13,5,FALSE),"Pendiente")</x:f>
        <x:v>Pendiente</x:v>
      </x:c>
      <x:c r="S20" s="17" t="str">
        <x:f>IFERROR(VLOOKUP(J20,Precios!$A$6:$M$13,7,FALSE),"Pendiente")</x:f>
        <x:v>Pendiente</x:v>
      </x:c>
      <x:c r="T20" s="15" t="str">
        <x:f>IF(S20="Excluido",IFERROR(VLOOKUP(J20,Precios!$A$6:$M$13,8,FALSE),"Pendiente"),"No aplica")</x:f>
        <x:v>No aplica</x:v>
      </x:c>
      <x:c r="U20" s="3" t="str">
        <x:v>Por confirmar</x:v>
      </x:c>
      <x:c r="V20" s="17" t="str">
        <x:f>IFERROR(VLOOKUP(J20,Precios!$A$6:$M$13,13,FALSE),"Pendiente")</x:f>
        <x:v>Pendiente</x:v>
      </x:c>
      <x:c r="W20" s="3" t="str">
        <x:v>Escenario propuesto S4; no inventario</x:v>
      </x:c>
      <x:c r="X20" s="3" t="str">
        <x:v>Pendiente de cotizar</x:v>
      </x:c>
    </x:row>
    <x:row r="21" ht="78" customHeight="1">
      <x:c r="A21" s="3" t="str">
        <x:v>D16</x:v>
      </x:c>
      <x:c r="B21" s="3" t="str">
        <x:v>Envío Lionchip</x:v>
      </x:c>
      <x:c r="C21" s="3" t="str">
        <x:v>Motor</x:v>
      </x:c>
      <x:c r="D21" s="7" t="n">
        <x:v>1</x:v>
      </x:c>
      <x:c r="E21" s="3" t="str">
        <x:v>pedido</x:v>
      </x:c>
      <x:c r="F21" s="19" t="str">
        <x:f>IFERROR(VLOOKUP(J21,Precios!$A$6:$M$13,10,FALSE),"Pendiente")</x:f>
        <x:v>Pendiente</x:v>
      </x:c>
      <x:c r="G21" s="16" t="str">
        <x:f>IF(NOT(ISNUMBER(D21)),"Pendiente",IF(D21&lt;0,"Revisar",IF(D21=0,0,IF(ISNUMBER(F21),ROUND(D21*F21,2),"Pendiente"))))</x:f>
        <x:v>Pendiente</x:v>
      </x:c>
      <x:c r="H21" s="7" t="str">
        <x:v>Pendiente</x:v>
      </x:c>
      <x:c r="I21" s="16" t="str">
        <x:f>IF(NOT(ISNUMBER(D21)),"Pendiente",IF(D21&lt;0,"Revisar",IF(D21=0,0,IF(H21="Comprar",G21,IF(OR(H21="Propio",H21="Donado",H21="Prestado",H21="Voluntario"),0,"Pendiente")))))</x:f>
        <x:v>Pendiente</x:v>
      </x:c>
      <x:c r="J21" s="7" t="str"/>
      <x:c r="K21" s="3" t="str">
        <x:v>Un cargo consolidado D02–D04; dirección y plazo pendientes.</x:v>
      </x:c>
      <x:c r="L21" s="3" t="str">
        <x:v>logística</x:v>
      </x:c>
      <x:c r="M21" s="17" t="str">
        <x:f>IFERROR(VLOOKUP(J21,Precios!$A$6:$M$13,3,FALSE),"Pendiente")</x:f>
        <x:v>Pendiente</x:v>
      </x:c>
      <x:c r="N21" s="17" t="str">
        <x:f>IFERROR(VLOOKUP(J21,Precios!$A$6:$M$13,4,FALSE),"Pendiente")</x:f>
        <x:v>Pendiente</x:v>
      </x:c>
      <x:c r="O21" s="17" t="str">
        <x:f>IFERROR(VLOOKUP(J21,Precios!$A$6:$M$13,11,FALSE),"Pendiente")</x:f>
        <x:v>Pendiente</x:v>
      </x:c>
      <x:c r="P21" s="20" t="str">
        <x:f>IFERROR(VLOOKUP(J21,Precios!$A$6:$M$13,9,FALSE),"Pendiente")</x:f>
        <x:v>Pendiente</x:v>
      </x:c>
      <x:c r="Q21" s="3" t="str">
        <x:v>MXN</x:v>
      </x:c>
      <x:c r="R21" s="19" t="str">
        <x:f>IFERROR(VLOOKUP(J21,Precios!$A$6:$M$13,5,FALSE),"Pendiente")</x:f>
        <x:v>Pendiente</x:v>
      </x:c>
      <x:c r="S21" s="17" t="str">
        <x:f>IFERROR(VLOOKUP(J21,Precios!$A$6:$M$13,7,FALSE),"Pendiente")</x:f>
        <x:v>Pendiente</x:v>
      </x:c>
      <x:c r="T21" s="15" t="str">
        <x:f>IF(S21="Excluido",IFERROR(VLOOKUP(J21,Precios!$A$6:$M$13,8,FALSE),"Pendiente"),"No aplica")</x:f>
        <x:v>No aplica</x:v>
      </x:c>
      <x:c r="U21" s="3" t="str">
        <x:v>Por confirmar</x:v>
      </x:c>
      <x:c r="V21" s="17" t="str">
        <x:f>IFERROR(VLOOKUP(J21,Precios!$A$6:$M$13,13,FALSE),"Pendiente")</x:f>
        <x:v>Pendiente</x:v>
      </x:c>
      <x:c r="W21" s="3" t="str">
        <x:v>Escenario propuesto S4; no inventario</x:v>
      </x:c>
      <x:c r="X21" s="3" t="str">
        <x:v>Pendiente de cotizar</x:v>
      </x:c>
    </x:row>
    <x:row r="22" ht="78" customHeight="1">
      <x:c r="A22" s="3" t="str">
        <x:v>D17</x:v>
      </x:c>
      <x:c r="B22" s="3" t="str">
        <x:v>Envío 3DMarket</x:v>
      </x:c>
      <x:c r="C22" s="3" t="str">
        <x:v>Base</x:v>
      </x:c>
      <x:c r="D22" s="7" t="n">
        <x:v>1</x:v>
      </x:c>
      <x:c r="E22" s="3" t="str">
        <x:v>pedido</x:v>
      </x:c>
      <x:c r="F22" s="19" t="str">
        <x:f>IFERROR(VLOOKUP(J22,Precios!$A$6:$M$13,10,FALSE),"Pendiente")</x:f>
        <x:v>Pendiente</x:v>
      </x:c>
      <x:c r="G22" s="16" t="str">
        <x:f>IF(NOT(ISNUMBER(D22)),"Pendiente",IF(D22&lt;0,"Revisar",IF(D22=0,0,IF(ISNUMBER(F22),ROUND(D22*F22,2),"Pendiente"))))</x:f>
        <x:v>Pendiente</x:v>
      </x:c>
      <x:c r="H22" s="7" t="str">
        <x:v>Pendiente</x:v>
      </x:c>
      <x:c r="I22" s="16" t="str">
        <x:f>IF(NOT(ISNUMBER(D22)),"Pendiente",IF(D22&lt;0,"Revisar",IF(D22=0,0,IF(H22="Comprar",G22,IF(OR(H22="Propio",H22="Donado",H22="Prestado",H22="Voluntario"),0,"Pendiente")))))</x:f>
        <x:v>Pendiente</x:v>
      </x:c>
      <x:c r="J22" s="7" t="str"/>
      <x:c r="K22" s="3" t="str">
        <x:v>Un cargo por pedido de material; no repetir por kilogramo.</x:v>
      </x:c>
      <x:c r="L22" s="3" t="str">
        <x:v>logística</x:v>
      </x:c>
      <x:c r="M22" s="17" t="str">
        <x:f>IFERROR(VLOOKUP(J22,Precios!$A$6:$M$13,3,FALSE),"Pendiente")</x:f>
        <x:v>Pendiente</x:v>
      </x:c>
      <x:c r="N22" s="17" t="str">
        <x:f>IFERROR(VLOOKUP(J22,Precios!$A$6:$M$13,4,FALSE),"Pendiente")</x:f>
        <x:v>Pendiente</x:v>
      </x:c>
      <x:c r="O22" s="17" t="str">
        <x:f>IFERROR(VLOOKUP(J22,Precios!$A$6:$M$13,11,FALSE),"Pendiente")</x:f>
        <x:v>Pendiente</x:v>
      </x:c>
      <x:c r="P22" s="20" t="str">
        <x:f>IFERROR(VLOOKUP(J22,Precios!$A$6:$M$13,9,FALSE),"Pendiente")</x:f>
        <x:v>Pendiente</x:v>
      </x:c>
      <x:c r="Q22" s="3" t="str">
        <x:v>MXN</x:v>
      </x:c>
      <x:c r="R22" s="19" t="str">
        <x:f>IFERROR(VLOOKUP(J22,Precios!$A$6:$M$13,5,FALSE),"Pendiente")</x:f>
        <x:v>Pendiente</x:v>
      </x:c>
      <x:c r="S22" s="17" t="str">
        <x:f>IFERROR(VLOOKUP(J22,Precios!$A$6:$M$13,7,FALSE),"Pendiente")</x:f>
        <x:v>Pendiente</x:v>
      </x:c>
      <x:c r="T22" s="15" t="str">
        <x:f>IF(S22="Excluido",IFERROR(VLOOKUP(J22,Precios!$A$6:$M$13,8,FALSE),"Pendiente"),"No aplica")</x:f>
        <x:v>No aplica</x:v>
      </x:c>
      <x:c r="U22" s="3" t="str">
        <x:v>Por confirmar</x:v>
      </x:c>
      <x:c r="V22" s="17" t="str">
        <x:f>IFERROR(VLOOKUP(J22,Precios!$A$6:$M$13,13,FALSE),"Pendiente")</x:f>
        <x:v>Pendiente</x:v>
      </x:c>
      <x:c r="W22" s="3" t="str">
        <x:v>Escenario propuesto S4; no inventario</x:v>
      </x:c>
      <x:c r="X22" s="3" t="str">
        <x:v>Pendiente de cotizar</x:v>
      </x:c>
    </x:row>
    <x:row r="23" ht="78" customHeight="1">
      <x:c r="A23" s="3" t="str">
        <x:v>D18</x:v>
      </x:c>
      <x:c r="B23" s="3" t="str">
        <x:v>Envío Steren</x:v>
      </x:c>
      <x:c r="C23" s="3" t="str">
        <x:v>Agua</x:v>
      </x:c>
      <x:c r="D23" s="7" t="n">
        <x:v>1</x:v>
      </x:c>
      <x:c r="E23" s="3" t="str">
        <x:v>pedido</x:v>
      </x:c>
      <x:c r="F23" s="19" t="str">
        <x:f>IFERROR(VLOOKUP(J23,Precios!$A$6:$M$13,10,FALSE),"Pendiente")</x:f>
        <x:v>Pendiente</x:v>
      </x:c>
      <x:c r="G23" s="16" t="str">
        <x:f>IF(NOT(ISNUMBER(D23)),"Pendiente",IF(D23&lt;0,"Revisar",IF(D23=0,0,IF(ISNUMBER(F23),ROUND(D23*F23,2),"Pendiente"))))</x:f>
        <x:v>Pendiente</x:v>
      </x:c>
      <x:c r="H23" s="7" t="str">
        <x:v>Pendiente</x:v>
      </x:c>
      <x:c r="I23" s="16" t="str">
        <x:f>IF(NOT(ISNUMBER(D23)),"Pendiente",IF(D23&lt;0,"Revisar",IF(D23=0,0,IF(H23="Comprar",G23,IF(OR(H23="Propio",H23="Donado",H23="Prestado",H23="Voluntario"),0,"Pendiente")))))</x:f>
        <x:v>Pendiente</x:v>
      </x:c>
      <x:c r="J23" s="7" t="str"/>
      <x:c r="K23" s="3" t="str">
        <x:v>Un cargo D05–D06; no asumir promoción ni stock local.</x:v>
      </x:c>
      <x:c r="L23" s="3" t="str">
        <x:v>logística</x:v>
      </x:c>
      <x:c r="M23" s="17" t="str">
        <x:f>IFERROR(VLOOKUP(J23,Precios!$A$6:$M$13,3,FALSE),"Pendiente")</x:f>
        <x:v>Pendiente</x:v>
      </x:c>
      <x:c r="N23" s="17" t="str">
        <x:f>IFERROR(VLOOKUP(J23,Precios!$A$6:$M$13,4,FALSE),"Pendiente")</x:f>
        <x:v>Pendiente</x:v>
      </x:c>
      <x:c r="O23" s="17" t="str">
        <x:f>IFERROR(VLOOKUP(J23,Precios!$A$6:$M$13,11,FALSE),"Pendiente")</x:f>
        <x:v>Pendiente</x:v>
      </x:c>
      <x:c r="P23" s="20" t="str">
        <x:f>IFERROR(VLOOKUP(J23,Precios!$A$6:$M$13,9,FALSE),"Pendiente")</x:f>
        <x:v>Pendiente</x:v>
      </x:c>
      <x:c r="Q23" s="3" t="str">
        <x:v>MXN</x:v>
      </x:c>
      <x:c r="R23" s="19" t="str">
        <x:f>IFERROR(VLOOKUP(J23,Precios!$A$6:$M$13,5,FALSE),"Pendiente")</x:f>
        <x:v>Pendiente</x:v>
      </x:c>
      <x:c r="S23" s="17" t="str">
        <x:f>IFERROR(VLOOKUP(J23,Precios!$A$6:$M$13,7,FALSE),"Pendiente")</x:f>
        <x:v>Pendiente</x:v>
      </x:c>
      <x:c r="T23" s="15" t="str">
        <x:f>IF(S23="Excluido",IFERROR(VLOOKUP(J23,Precios!$A$6:$M$13,8,FALSE),"Pendiente"),"No aplica")</x:f>
        <x:v>No aplica</x:v>
      </x:c>
      <x:c r="U23" s="3" t="str">
        <x:v>Por confirmar</x:v>
      </x:c>
      <x:c r="V23" s="17" t="str">
        <x:f>IFERROR(VLOOKUP(J23,Precios!$A$6:$M$13,13,FALSE),"Pendiente")</x:f>
        <x:v>Pendiente</x:v>
      </x:c>
      <x:c r="W23" s="3" t="str">
        <x:v>Escenario propuesto S4; no inventario</x:v>
      </x:c>
      <x:c r="X23" s="3" t="str">
        <x:v>Pendiente de cotizar</x:v>
      </x:c>
    </x:row>
    <x:row r="24" ht="78" customHeight="1">
      <x:c r="A24" s="3" t="str">
        <x:v>D19</x:v>
      </x:c>
      <x:c r="B24" s="3" t="str">
        <x:v>Envío de fabricación y embalaje</x:v>
      </x:c>
      <x:c r="C24" s="3" t="str">
        <x:v>Base</x:v>
      </x:c>
      <x:c r="D24" s="7" t="n">
        <x:v>1</x:v>
      </x:c>
      <x:c r="E24" s="3" t="str">
        <x:v>lote</x:v>
      </x:c>
      <x:c r="F24" s="19" t="str">
        <x:f>IFERROR(VLOOKUP(J24,Precios!$A$6:$M$13,10,FALSE),"Pendiente")</x:f>
        <x:v>Pendiente</x:v>
      </x:c>
      <x:c r="G24" s="16" t="str">
        <x:f>IF(NOT(ISNUMBER(D24)),"Pendiente",IF(D24&lt;0,"Revisar",IF(D24=0,0,IF(ISNUMBER(F24),ROUND(D24*F24,2),"Pendiente"))))</x:f>
        <x:v>Pendiente</x:v>
      </x:c>
      <x:c r="H24" s="7" t="str">
        <x:v>Pendiente</x:v>
      </x:c>
      <x:c r="I24" s="16" t="str">
        <x:f>IF(NOT(ISNUMBER(D24)),"Pendiente",IF(D24&lt;0,"Revisar",IF(D24=0,0,IF(H24="Comprar",G24,IF(OR(H24="Propio",H24="Donado",H24="Prestado",H24="Voluntario"),0,"Pendiente")))))</x:f>
        <x:v>Pendiente</x:v>
      </x:c>
      <x:c r="J24" s="7" t="str"/>
      <x:c r="K24" s="3" t="str">
        <x:v>Cotizar consolidado local, declarar recogida confirmada si procede.</x:v>
      </x:c>
      <x:c r="L24" s="3" t="str">
        <x:v>logística</x:v>
      </x:c>
      <x:c r="M24" s="17" t="str">
        <x:f>IFERROR(VLOOKUP(J24,Precios!$A$6:$M$13,3,FALSE),"Pendiente")</x:f>
        <x:v>Pendiente</x:v>
      </x:c>
      <x:c r="N24" s="17" t="str">
        <x:f>IFERROR(VLOOKUP(J24,Precios!$A$6:$M$13,4,FALSE),"Pendiente")</x:f>
        <x:v>Pendiente</x:v>
      </x:c>
      <x:c r="O24" s="17" t="str">
        <x:f>IFERROR(VLOOKUP(J24,Precios!$A$6:$M$13,11,FALSE),"Pendiente")</x:f>
        <x:v>Pendiente</x:v>
      </x:c>
      <x:c r="P24" s="20" t="str">
        <x:f>IFERROR(VLOOKUP(J24,Precios!$A$6:$M$13,9,FALSE),"Pendiente")</x:f>
        <x:v>Pendiente</x:v>
      </x:c>
      <x:c r="Q24" s="3" t="str">
        <x:v>MXN</x:v>
      </x:c>
      <x:c r="R24" s="19" t="str">
        <x:f>IFERROR(VLOOKUP(J24,Precios!$A$6:$M$13,5,FALSE),"Pendiente")</x:f>
        <x:v>Pendiente</x:v>
      </x:c>
      <x:c r="S24" s="17" t="str">
        <x:f>IFERROR(VLOOKUP(J24,Precios!$A$6:$M$13,7,FALSE),"Pendiente")</x:f>
        <x:v>Pendiente</x:v>
      </x:c>
      <x:c r="T24" s="15" t="str">
        <x:f>IF(S24="Excluido",IFERROR(VLOOKUP(J24,Precios!$A$6:$M$13,8,FALSE),"Pendiente"),"No aplica")</x:f>
        <x:v>No aplica</x:v>
      </x:c>
      <x:c r="U24" s="3" t="str">
        <x:v>Por confirmar</x:v>
      </x:c>
      <x:c r="V24" s="17" t="str">
        <x:f>IFERROR(VLOOKUP(J24,Precios!$A$6:$M$13,13,FALSE),"Pendiente")</x:f>
        <x:v>Pendiente</x:v>
      </x:c>
      <x:c r="W24" s="3" t="str">
        <x:v>Escenario propuesto S4; no inventario</x:v>
      </x:c>
      <x:c r="X24" s="3" t="str">
        <x:v>Pendiente de cotizar</x:v>
      </x:c>
    </x:row>
  </x:sheetData>
  <x:mergeCells>
    <x:mergeCell ref="A1:I1"/>
    <x:mergeCell ref="A2:I2"/>
    <x:mergeCell ref="A3:I3"/>
  </x:mergeCells>
  <x:conditionalFormatting sqref="F6:I24">
    <x:cfRule type="containsText" dxfId="1" priority="1" operator="containsText" text="Pendiente"/>
  </x:conditionalFormatting>
  <x:dataValidations count="1">
    <x:dataValidation type="list" sqref="H6:H24">
      <x:formula1>"Pendiente,Comprar,Propio,Donado,Prestado,Voluntario"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2" hidden="0" customWidth="1"/>
    <x:col min="3" max="3" width="12" hidden="0" customWidth="1"/>
    <x:col min="4" max="4" width="10" hidden="0" customWidth="1"/>
    <x:col min="5" max="5" width="13" hidden="0" customWidth="1"/>
    <x:col min="6" max="6" width="17" hidden="0" customWidth="1"/>
    <x:col min="7" max="7" width="18" hidden="0" customWidth="1"/>
    <x:col min="8" max="8" width="17" hidden="0" customWidth="1"/>
    <x:col min="9" max="9" width="18" hidden="0" customWidth="1"/>
    <x:col min="10" max="10" width="12" hidden="0" customWidth="1"/>
    <x:col min="11" max="11" width="65" hidden="0" customWidth="1"/>
    <x:col min="12" max="12" width="26" hidden="0" customWidth="1"/>
    <x:col min="13" max="13" width="24" hidden="0" customWidth="1"/>
    <x:col min="14" max="14" width="28" hidden="0" customWidth="1"/>
    <x:col min="15" max="15" width="65" hidden="0" customWidth="1"/>
    <x:col min="16" max="16" width="15" hidden="0" customWidth="1"/>
    <x:col min="17" max="17" width="11" hidden="0" customWidth="1"/>
    <x:col min="18" max="18" width="17" hidden="0" customWidth="1"/>
    <x:col min="19" max="19" width="19" hidden="0" customWidth="1"/>
    <x:col min="20" max="20" width="12" hidden="0" customWidth="1"/>
    <x:col min="21" max="21" width="23" hidden="0" customWidth="1"/>
    <x:col min="22" max="22" width="70" hidden="0" customWidth="1"/>
    <x:col min="23" max="23" width="37" hidden="0" customWidth="1"/>
    <x:col min="24" max="24" width="38" hidden="0" customWidth="1"/>
  </x:cols>
  <x:sheetData>
    <x:row r="1" ht="32" customHeight="1">
      <x:c r="A1" s="4" t="str">
        <x:v>Chiapas · lista preliminar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43" customHeight="1">
      <x:c r="A2" s="3" t="str">
        <x:v>Piloto exploratorio en huerto periurbano de Tuxtla Gutiérrez, sitio sin confirmar: 3 pares independientes, riego manual frente a goteo y aislamiento por lote. No incluye módulo presurizado ni animales.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40" customHeight="1">
      <x:c r="A3" s="3" t="str">
        <x:v>Faltante = Pendiente, nunca cero. Para cotizaciones nuevas, registrar precio/IVA y fuente en Precios; K–X contienen especificaciones y trazabilidad.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3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38" customHeight="1">
      <x:c r="A5" s="6" t="str">
        <x:v>ID</x:v>
      </x:c>
      <x:c r="B5" s="6" t="str">
        <x:v>Función</x:v>
      </x:c>
      <x:c r="C5" s="6" t="str">
        <x:v>Grupo</x:v>
      </x:c>
      <x:c r="D5" s="6" t="str">
        <x:v>Cantidad</x:v>
      </x:c>
      <x:c r="E5" s="6" t="str">
        <x:v>Unidad</x:v>
      </x:c>
      <x:c r="F5" s="6" t="str">
        <x:v>Precio final/u</x:v>
      </x:c>
      <x:c r="G5" s="6" t="str">
        <x:v>Reposición MXN</x:v>
      </x:c>
      <x:c r="H5" s="6" t="str">
        <x:v>Recurso</x:v>
      </x:c>
      <x:c r="I5" s="6" t="str">
        <x:v>Desembolso MXN</x:v>
      </x:c>
      <x:c r="J5" s="6" t="str">
        <x:v>ID precio</x:v>
      </x:c>
      <x:c r="K5" s="6" t="str">
        <x:v>Especificación / condición</x:v>
      </x:c>
      <x:c r="L5" s="6" t="str">
        <x:v>Pieza / plano / ensayo</x:v>
      </x:c>
      <x:c r="M5" s="6" t="str">
        <x:v>Proveedor</x:v>
      </x:c>
      <x:c r="N5" s="6" t="str">
        <x:v>Modelo / SKU</x:v>
      </x:c>
      <x:c r="O5" s="6" t="str">
        <x:v>Fuente de precio</x:v>
      </x:c>
      <x:c r="P5" s="6" t="str">
        <x:v>Fecha consulta</x:v>
      </x:c>
      <x:c r="Q5" s="6" t="str">
        <x:v>Moneda</x:v>
      </x:c>
      <x:c r="R5" s="6" t="str">
        <x:v>Precio público/u</x:v>
      </x:c>
      <x:c r="S5" s="6" t="str">
        <x:v>IVA</x:v>
      </x:c>
      <x:c r="T5" s="6" t="str">
        <x:v>Tasa si excl.</x:v>
      </x:c>
      <x:c r="U5" s="6" t="str">
        <x:v>Plazo</x:v>
      </x:c>
      <x:c r="V5" s="6" t="str">
        <x:v>Alternativa</x:v>
      </x:c>
      <x:c r="W5" s="6" t="str">
        <x:v>Base de cantidad</x:v>
      </x:c>
      <x:c r="X5" s="6" t="str">
        <x:v>Estado de evidencia</x:v>
      </x:c>
    </x:row>
    <x:row r="6" ht="78" customHeight="1">
      <x:c r="A6" s="3" t="str">
        <x:v>C01</x:v>
      </x:c>
      <x:c r="B6" s="3" t="str">
        <x:v>Control y registro offline</x:v>
      </x:c>
      <x:c r="C6" s="3" t="str">
        <x:v>CAPEX</x:v>
      </x:c>
      <x:c r="D6" s="7" t="n">
        <x:v>1</x:v>
      </x:c>
      <x:c r="E6" s="3" t="str">
        <x:v>pieza</x:v>
      </x:c>
      <x:c r="F6" s="19" t="n">
        <x:f>IFERROR(VLOOKUP(J6,Precios!$A$6:$M$13,10,FALSE),"Pendiente")</x:f>
        <x:v>139.2</x:v>
      </x:c>
      <x:c r="G6" s="16" t="n">
        <x:f>IF(NOT(ISNUMBER(D6)),"Pendiente",IF(D6&lt;0,"Revisar",IF(D6=0,0,IF(ISNUMBER(F6),ROUND(D6*F6,2),"Pendiente"))))</x:f>
        <x:v>139.2</x:v>
      </x:c>
      <x:c r="H6" s="7" t="str">
        <x:v>Pendiente</x:v>
      </x:c>
      <x:c r="I6" s="16" t="str">
        <x:f>IF(NOT(ISNUMBER(D6)),"Pendiente",IF(D6&lt;0,"Revisar",IF(D6=0,0,IF(H6="Comprar",G6,IF(OR(H6="Propio",H6="Donado",H6="Prestado",H6="Voluntario"),0,"Pendiente")))))</x:f>
        <x:v>Pendiente</x:v>
      </x:c>
      <x:c r="J6" s="7" t="str">
        <x:v>PR02</x:v>
      </x:c>
      <x:c r="K6" s="3" t="str">
        <x:v>Un controlador para tres circuitos separados; actuadores y firmware adicionales.</x:v>
      </x:c>
      <x:c r="L6" s="3" t="str">
        <x:v>control terrestre</x:v>
      </x:c>
      <x:c r="M6" s="17" t="str">
        <x:f>IFERROR(VLOOKUP(J6,Precios!$A$6:$M$13,3,FALSE),"Pendiente")</x:f>
        <x:v>Lionchip</x:v>
      </x:c>
      <x:c r="N6" s="17" t="n">
        <x:f>IFERROR(VLOOKUP(J6,Precios!$A$6:$M$13,4,FALSE),"Pendiente")</x:f>
        <x:v>497</x:v>
      </x:c>
      <x:c r="O6" s="17" t="str">
        <x:f>IFERROR(VLOOKUP(J6,Precios!$A$6:$M$13,11,FALSE),"Pendiente")</x:f>
        <x:v>https://www.lionchipmexico.com/product-page/placa-uno-ch340-entrada-tipo-c-mega328p-con-cable-compatible-con-arduino-ide</x:v>
      </x:c>
      <x:c r="P6" s="20" t="n">
        <x:f>IFERROR(VLOOKUP(J6,Precios!$A$6:$M$13,9,FALSE),"Pendiente")</x:f>
        <x:v>46285.5</x:v>
      </x:c>
      <x:c r="Q6" s="3" t="str">
        <x:v>MXN</x:v>
      </x:c>
      <x:c r="R6" s="19" t="n">
        <x:f>IFERROR(VLOOKUP(J6,Precios!$A$6:$M$13,5,FALSE),"Pendiente")</x:f>
        <x:v>139.2</x:v>
      </x:c>
      <x:c r="S6" s="17" t="str">
        <x:f>IFERROR(VLOOKUP(J6,Precios!$A$6:$M$13,7,FALSE),"Pendiente")</x:f>
        <x:v>Incluido</x:v>
      </x:c>
      <x:c r="T6" s="15" t="str">
        <x:f>IF(S6="Excluido",IFERROR(VLOOKUP(J6,Precios!$A$6:$M$13,8,FALSE),"Pendiente"),"No aplica")</x:f>
        <x:v>No aplica</x:v>
      </x:c>
      <x:c r="U6" s="3" t="str">
        <x:v>Por confirmar</x:v>
      </x:c>
      <x:c r="V6" s="17" t="str">
        <x:f>IFERROR(VLOOKUP(J6,Precios!$A$6:$M$13,13,FALSE),"Pendiente")</x:f>
        <x:v>PR05 ESP32; sustituir, no sumar. Revisar niveles lógicos.</x:v>
      </x:c>
      <x:c r="W6" s="3" t="str">
        <x:v>Escenario propuesto S4; no inventario</x:v>
      </x:c>
      <x:c r="X6" s="3" t="str">
        <x:v>Precio público; no cotización</x:v>
      </x:c>
    </x:row>
    <x:row r="7" ht="78" customHeight="1">
      <x:c r="A7" s="3" t="str">
        <x:v>C02</x:v>
      </x:c>
      <x:c r="B7" s="3" t="str">
        <x:v>Bombas de baja altura</x:v>
      </x:c>
      <x:c r="C7" s="3" t="str">
        <x:v>CAPEX</x:v>
      </x:c>
      <x:c r="D7" s="7" t="n">
        <x:v>3</x:v>
      </x:c>
      <x:c r="E7" s="3" t="str">
        <x:v>pieza</x:v>
      </x:c>
      <x:c r="F7" s="19" t="str">
        <x:f>IFERROR(VLOOKUP(J7,Precios!$A$6:$M$13,10,FALSE),"Pendiente")</x:f>
        <x:v>Pendiente</x:v>
      </x:c>
      <x:c r="G7" s="16" t="str">
        <x:f>IF(NOT(ISNUMBER(D7)),"Pendiente",IF(D7&lt;0,"Revisar",IF(D7=0,0,IF(ISNUMBER(F7),ROUND(D7*F7,2),"Pendiente"))))</x:f>
        <x:v>Pendiente</x:v>
      </x:c>
      <x:c r="H7" s="7" t="str">
        <x:v>Pendiente</x:v>
      </x:c>
      <x:c r="I7" s="16" t="str">
        <x:f>IF(NOT(ISNUMBER(D7)),"Pendiente",IF(D7&lt;0,"Revisar",IF(D7=0,0,IF(H7="Comprar",G7,IF(OR(H7="Propio",H7="Donado",H7="Prestado",H7="Voluntario"),0,"Pendiente")))))</x:f>
        <x:v>Pendiente</x:v>
      </x:c>
      <x:c r="J7" s="7" t="str">
        <x:v>PR06</x:v>
      </x:c>
      <x:c r="K7" s="3" t="str">
        <x:v>Una por réplica con goteo; aforar y medir altura antes de seleccionar.</x:v>
      </x:c>
      <x:c r="L7" s="3" t="str">
        <x:v>riego E2</x:v>
      </x:c>
      <x:c r="M7" s="17" t="str">
        <x:f>IFERROR(VLOOKUP(J7,Precios!$A$6:$M$13,3,FALSE),"Pendiente")</x:f>
        <x:v>Steren</x:v>
      </x:c>
      <x:c r="N7" s="17" t="str">
        <x:f>IFERROR(VLOOKUP(J7,Precios!$A$6:$M$13,4,FALSE),"Pendiente")</x:f>
        <x:v>MOT-300</x:v>
      </x:c>
      <x:c r="O7" s="17" t="str">
        <x:f>IFERROR(VLOOKUP(J7,Precios!$A$6:$M$13,11,FALSE),"Pendiente")</x:f>
        <x:v>https://www.steren.com.mx/micro-bomba-de-agua-con-flujo-de-80-120-l-h.html</x:v>
      </x:c>
      <x:c r="P7" s="20" t="n">
        <x:f>IFERROR(VLOOKUP(J7,Precios!$A$6:$M$13,9,FALSE),"Pendiente")</x:f>
        <x:v>46285.5</x:v>
      </x:c>
      <x:c r="Q7" s="3" t="str">
        <x:v>MXN</x:v>
      </x:c>
      <x:c r="R7" s="19" t="n">
        <x:f>IFERROR(VLOOKUP(J7,Precios!$A$6:$M$13,5,FALSE),"Pendiente")</x:f>
        <x:v>49</x:v>
      </x:c>
      <x:c r="S7" s="17" t="str">
        <x:f>IFERROR(VLOOKUP(J7,Precios!$A$6:$M$13,7,FALSE),"Pendiente")</x:f>
        <x:v>Por confirmar</x:v>
      </x:c>
      <x:c r="T7" s="15" t="str">
        <x:f>IF(S7="Excluido",IFERROR(VLOOKUP(J7,Precios!$A$6:$M$13,8,FALSE),"Pendiente"),"No aplica")</x:f>
        <x:v>No aplica</x:v>
      </x:c>
      <x:c r="U7" s="3" t="str">
        <x:v>Por confirmar</x:v>
      </x:c>
      <x:c r="V7" s="17" t="str">
        <x:f>IFERROR(VLOOKUP(J7,Precios!$A$6:$M$13,13,FALSE),"Pendiente")</x:f>
        <x:v>Depósito elevado y válvula manual para banco; no prueba automatización.</x:v>
      </x:c>
      <x:c r="W7" s="3" t="str">
        <x:v>Escenario propuesto S4; no inventario</x:v>
      </x:c>
      <x:c r="X7" s="3" t="str">
        <x:v>Precio público; no cotización</x:v>
      </x:c>
    </x:row>
    <x:row r="8" ht="78" customHeight="1">
      <x:c r="A8" s="3" t="str">
        <x:v>C03</x:v>
      </x:c>
      <x:c r="B8" s="3" t="str">
        <x:v>Recogida de drenajes</x:v>
      </x:c>
      <x:c r="C8" s="3" t="str">
        <x:v>CAPEX</x:v>
      </x:c>
      <x:c r="D8" s="7" t="n">
        <x:v>6</x:v>
      </x:c>
      <x:c r="E8" s="3" t="str">
        <x:v>pieza</x:v>
      </x:c>
      <x:c r="F8" s="19" t="str">
        <x:f>IFERROR(VLOOKUP(J8,Precios!$A$6:$M$13,10,FALSE),"Pendiente")</x:f>
        <x:v>Pendiente</x:v>
      </x:c>
      <x:c r="G8" s="16" t="str">
        <x:f>IF(NOT(ISNUMBER(D8)),"Pendiente",IF(D8&lt;0,"Revisar",IF(D8=0,0,IF(ISNUMBER(F8),ROUND(D8*F8,2),"Pendiente"))))</x:f>
        <x:v>Pendiente</x:v>
      </x:c>
      <x:c r="H8" s="7" t="str">
        <x:v>Pendiente</x:v>
      </x:c>
      <x:c r="I8" s="16" t="str">
        <x:f>IF(NOT(ISNUMBER(D8)),"Pendiente",IF(D8&lt;0,"Revisar",IF(D8=0,0,IF(H8="Comprar",G8,IF(OR(H8="Propio",H8="Donado",H8="Prestado",H8="Voluntario"),0,"Pendiente")))))</x:f>
        <x:v>Pendiente</x:v>
      </x:c>
      <x:c r="J8" s="7" t="str">
        <x:v>PR08</x:v>
      </x:c>
      <x:c r="K8" s="3" t="str">
        <x:v>Una cubeta por unidad; no reutilizar drenaje en cultivo en esta fase.</x:v>
      </x:c>
      <x:c r="L8" s="3" t="str">
        <x:v>drenaje E2</x:v>
      </x:c>
      <x:c r="M8" s="17" t="str">
        <x:f>IFERROR(VLOOKUP(J8,Precios!$A$6:$M$13,3,FALSE),"Pendiente")</x:f>
        <x:v>The Home Depot México</x:v>
      </x:c>
      <x:c r="N8" s="17" t="str">
        <x:f>IFERROR(VLOOKUP(J8,Precios!$A$6:$M$13,4,FALSE),"Pendiente")</x:f>
        <x:v>140348 / 05GLHDMX</x:v>
      </x:c>
      <x:c r="O8" s="17" t="str">
        <x:f>IFERROR(VLOOKUP(J8,Precios!$A$6:$M$13,11,FALSE),"Pendiente")</x:f>
        <x:v>https://www.homedepot.com.mx/p/the-home-depot-cubeta-multiusos-de-1892-l-the-home-depot-05glhdmx-140348</x:v>
      </x:c>
      <x:c r="P8" s="20" t="n">
        <x:f>IFERROR(VLOOKUP(J8,Precios!$A$6:$M$13,9,FALSE),"Pendiente")</x:f>
        <x:v>46285.5</x:v>
      </x:c>
      <x:c r="Q8" s="3" t="str">
        <x:v>MXN</x:v>
      </x:c>
      <x:c r="R8" s="19" t="n">
        <x:f>IFERROR(VLOOKUP(J8,Precios!$A$6:$M$13,5,FALSE),"Pendiente")</x:f>
        <x:v>119</x:v>
      </x:c>
      <x:c r="S8" s="17" t="str">
        <x:f>IFERROR(VLOOKUP(J8,Precios!$A$6:$M$13,7,FALSE),"Pendiente")</x:f>
        <x:v>Por confirmar</x:v>
      </x:c>
      <x:c r="T8" s="15" t="str">
        <x:f>IF(S8="Excluido",IFERROR(VLOOKUP(J8,Precios!$A$6:$M$13,8,FALSE),"Pendiente"),"No aplica")</x:f>
        <x:v>No aplica</x:v>
      </x:c>
      <x:c r="U8" s="3" t="str">
        <x:v>Por confirmar</x:v>
      </x:c>
      <x:c r="V8" s="17" t="str">
        <x:f>IFERROR(VLOOKUP(J8,Precios!$A$6:$M$13,13,FALSE),"Pendiente")</x:f>
        <x:v>Depósitos documentados de material compatible de proveedor local; cotizar.</x:v>
      </x:c>
      <x:c r="W8" s="3" t="str">
        <x:v>Escenario propuesto S4; no inventario</x:v>
      </x:c>
      <x:c r="X8" s="3" t="str">
        <x:v>Precio público; no cotización</x:v>
      </x:c>
    </x:row>
    <x:row r="9" ht="78" customHeight="1">
      <x:c r="A9" s="3" t="str">
        <x:v>C04</x:v>
      </x:c>
      <x:c r="B9" s="3" t="str">
        <x:v>Pesaje de entradas y cosecha</x:v>
      </x:c>
      <x:c r="C9" s="3" t="str">
        <x:v>CAPEX</x:v>
      </x:c>
      <x:c r="D9" s="7" t="n">
        <x:v>1</x:v>
      </x:c>
      <x:c r="E9" s="3" t="str">
        <x:v>pieza</x:v>
      </x:c>
      <x:c r="F9" s="19" t="str">
        <x:f>IFERROR(VLOOKUP(J9,Precios!$A$6:$M$13,10,FALSE),"Pendiente")</x:f>
        <x:v>Pendiente</x:v>
      </x:c>
      <x:c r="G9" s="16" t="str">
        <x:f>IF(NOT(ISNUMBER(D9)),"Pendiente",IF(D9&lt;0,"Revisar",IF(D9=0,0,IF(ISNUMBER(F9),ROUND(D9*F9,2),"Pendiente"))))</x:f>
        <x:v>Pendiente</x:v>
      </x:c>
      <x:c r="H9" s="7" t="str">
        <x:v>Pendiente</x:v>
      </x:c>
      <x:c r="I9" s="16" t="str">
        <x:f>IF(NOT(ISNUMBER(D9)),"Pendiente",IF(D9&lt;0,"Revisar",IF(D9=0,0,IF(H9="Comprar",G9,IF(OR(H9="Propio",H9="Donado",H9="Prestado",H9="Voluntario"),0,"Pendiente")))))</x:f>
        <x:v>Pendiente</x:v>
      </x:c>
      <x:c r="J9" s="7" t="str">
        <x:v>PR07</x:v>
      </x:c>
      <x:c r="K9" s="3" t="str">
        <x:v>Alícuotas; balanza de mayor capacidad sólo si la tarea lo requiere.</x:v>
      </x:c>
      <x:c r="L9" s="3" t="str">
        <x:v>E2</x:v>
      </x:c>
      <x:c r="M9" s="17" t="str">
        <x:f>IFERROR(VLOOKUP(J9,Precios!$A$6:$M$13,3,FALSE),"Pendiente")</x:f>
        <x:v>Steren</x:v>
      </x:c>
      <x:c r="N9" s="17" t="str">
        <x:f>IFERROR(VLOOKUP(J9,Precios!$A$6:$M$13,4,FALSE),"Pendiente")</x:f>
        <x:v>MED-400</x:v>
      </x:c>
      <x:c r="O9" s="17" t="str">
        <x:f>IFERROR(VLOOKUP(J9,Precios!$A$6:$M$13,11,FALSE),"Pendiente")</x:f>
        <x:v>https://www.steren.com.mx/bascula-digital-gramera-cinetica-hasta-5-kg.html</x:v>
      </x:c>
      <x:c r="P9" s="20" t="n">
        <x:f>IFERROR(VLOOKUP(J9,Precios!$A$6:$M$13,9,FALSE),"Pendiente")</x:f>
        <x:v>46285.5</x:v>
      </x:c>
      <x:c r="Q9" s="3" t="str">
        <x:v>MXN</x:v>
      </x:c>
      <x:c r="R9" s="19" t="n">
        <x:f>IFERROR(VLOOKUP(J9,Precios!$A$6:$M$13,5,FALSE),"Pendiente")</x:f>
        <x:v>399</x:v>
      </x:c>
      <x:c r="S9" s="17" t="str">
        <x:f>IFERROR(VLOOKUP(J9,Precios!$A$6:$M$13,7,FALSE),"Pendiente")</x:f>
        <x:v>Por confirmar</x:v>
      </x:c>
      <x:c r="T9" s="15" t="str">
        <x:f>IF(S9="Excluido",IFERROR(VLOOKUP(J9,Precios!$A$6:$M$13,8,FALSE),"Pendiente"),"No aplica")</x:f>
        <x:v>No aplica</x:v>
      </x:c>
      <x:c r="U9" s="3" t="str">
        <x:v>Por confirmar</x:v>
      </x:c>
      <x:c r="V9" s="17" t="str">
        <x:f>IFERROR(VLOOKUP(J9,Precios!$A$6:$M$13,13,FALSE),"Pendiente")</x:f>
        <x:v>Balanza de laboratorio prestada, disponibilidad y calibración por confirmar.</x:v>
      </x:c>
      <x:c r="W9" s="3" t="str">
        <x:v>Escenario propuesto S4; no inventario</x:v>
      </x:c>
      <x:c r="X9" s="3" t="str">
        <x:v>Precio público; no cotización</x:v>
      </x:c>
    </x:row>
    <x:row r="10" ht="78" customHeight="1">
      <x:c r="A10" s="3" t="str">
        <x:v>C05</x:v>
      </x:c>
      <x:c r="B10" s="3" t="str">
        <x:v>Recipientes de cultivo</x:v>
      </x:c>
      <x:c r="C10" s="3" t="str">
        <x:v>CAPEX</x:v>
      </x:c>
      <x:c r="D10" s="7" t="n">
        <x:v>6</x:v>
      </x:c>
      <x:c r="E10" s="3" t="str">
        <x:v>pieza</x:v>
      </x:c>
      <x:c r="F10" s="19" t="str">
        <x:f>IFERROR(VLOOKUP(J10,Precios!$A$6:$M$13,10,FALSE),"Pendiente")</x:f>
        <x:v>Pendiente</x:v>
      </x:c>
      <x:c r="G10" s="16" t="str">
        <x:f>IF(NOT(ISNUMBER(D10)),"Pendiente",IF(D10&lt;0,"Revisar",IF(D10=0,0,IF(ISNUMBER(F10),ROUND(D10*F10,2),"Pendiente"))))</x:f>
        <x:v>Pendiente</x:v>
      </x:c>
      <x:c r="H10" s="7" t="str">
        <x:v>Pendiente</x:v>
      </x:c>
      <x:c r="I10" s="16" t="str">
        <x:f>IF(NOT(ISNUMBER(D10)),"Pendiente",IF(D10&lt;0,"Revisar",IF(D10=0,0,IF(H10="Comprar",G10,IF(OR(H10="Propio",H10="Donado",H10="Prestado",H10="Voluntario"),0,"Pendiente")))))</x:f>
        <x:v>Pendiente</x:v>
      </x:c>
      <x:c r="J10" s="7" t="str"/>
      <x:c r="K10" s="3" t="str">
        <x:v>Igual área y profundidad; material apto documentado, drenaje individual; dimensión tras sitio.</x:v>
      </x:c>
      <x:c r="L10" s="3" t="str">
        <x:v>unidades U1–U6</x:v>
      </x:c>
      <x:c r="M10" s="17" t="str">
        <x:f>IFERROR(VLOOKUP(J10,Precios!$A$6:$M$13,3,FALSE),"Pendiente")</x:f>
        <x:v>Pendiente</x:v>
      </x:c>
      <x:c r="N10" s="17" t="str">
        <x:f>IFERROR(VLOOKUP(J10,Precios!$A$6:$M$13,4,FALSE),"Pendiente")</x:f>
        <x:v>Pendiente</x:v>
      </x:c>
      <x:c r="O10" s="17" t="str">
        <x:f>IFERROR(VLOOKUP(J10,Precios!$A$6:$M$13,11,FALSE),"Pendiente")</x:f>
        <x:v>Pendiente</x:v>
      </x:c>
      <x:c r="P10" s="20" t="str">
        <x:f>IFERROR(VLOOKUP(J10,Precios!$A$6:$M$13,9,FALSE),"Pendiente")</x:f>
        <x:v>Pendiente</x:v>
      </x:c>
      <x:c r="Q10" s="3" t="str">
        <x:v>MXN</x:v>
      </x:c>
      <x:c r="R10" s="19" t="str">
        <x:f>IFERROR(VLOOKUP(J10,Precios!$A$6:$M$13,5,FALSE),"Pendiente")</x:f>
        <x:v>Pendiente</x:v>
      </x:c>
      <x:c r="S10" s="17" t="str">
        <x:f>IFERROR(VLOOKUP(J10,Precios!$A$6:$M$13,7,FALSE),"Pendiente")</x:f>
        <x:v>Pendiente</x:v>
      </x:c>
      <x:c r="T10" s="15" t="str">
        <x:f>IF(S10="Excluido",IFERROR(VLOOKUP(J10,Precios!$A$6:$M$13,8,FALSE),"Pendiente"),"No aplica")</x:f>
        <x:v>No aplica</x:v>
      </x:c>
      <x:c r="U10" s="3" t="str">
        <x:v>Por confirmar</x:v>
      </x:c>
      <x:c r="V10" s="17" t="str">
        <x:f>IFERROR(VLOOKUP(J10,Precios!$A$6:$M$13,13,FALSE),"Pendiente")</x:f>
        <x:v>Pendiente</x:v>
      </x:c>
      <x:c r="W10" s="3" t="str">
        <x:v>Escenario propuesto S4; no inventario</x:v>
      </x:c>
      <x:c r="X10" s="3" t="str">
        <x:v>Pendiente de cotizar</x:v>
      </x:c>
    </x:row>
    <x:row r="11" ht="78" customHeight="1">
      <x:c r="A11" s="3" t="str">
        <x:v>C06</x:v>
      </x:c>
      <x:c r="B11" s="3" t="str">
        <x:v>Depósitos de entrada y tuberías</x:v>
      </x:c>
      <x:c r="C11" s="3" t="str">
        <x:v>CAPEX</x:v>
      </x:c>
      <x:c r="D11" s="7" t="n">
        <x:v>3</x:v>
      </x:c>
      <x:c r="E11" s="3" t="str">
        <x:v>conjunto</x:v>
      </x:c>
      <x:c r="F11" s="19" t="str">
        <x:f>IFERROR(VLOOKUP(J11,Precios!$A$6:$M$13,10,FALSE),"Pendiente")</x:f>
        <x:v>Pendiente</x:v>
      </x:c>
      <x:c r="G11" s="16" t="str">
        <x:f>IF(NOT(ISNUMBER(D11)),"Pendiente",IF(D11&lt;0,"Revisar",IF(D11=0,0,IF(ISNUMBER(F11),ROUND(D11*F11,2),"Pendiente"))))</x:f>
        <x:v>Pendiente</x:v>
      </x:c>
      <x:c r="H11" s="7" t="str">
        <x:v>Pendiente</x:v>
      </x:c>
      <x:c r="I11" s="16" t="str">
        <x:f>IF(NOT(ISNUMBER(D11)),"Pendiente",IF(D11&lt;0,"Revisar",IF(D11=0,0,IF(H11="Comprar",G11,IF(OR(H11="Propio",H11="Donado",H11="Prestado",H11="Voluntario"),0,"Pendiente")))))</x:f>
        <x:v>Pendiente</x:v>
      </x:c>
      <x:c r="J11" s="7" t="str"/>
      <x:c r="K11" s="3" t="str">
        <x:v>Tres circuitos independientes con filtro, goteros y válvula de corte; incluir regadera control.</x:v>
      </x:c>
      <x:c r="L11" s="3" t="str">
        <x:v>E2/E3</x:v>
      </x:c>
      <x:c r="M11" s="17" t="str">
        <x:f>IFERROR(VLOOKUP(J11,Precios!$A$6:$M$13,3,FALSE),"Pendiente")</x:f>
        <x:v>Pendiente</x:v>
      </x:c>
      <x:c r="N11" s="17" t="str">
        <x:f>IFERROR(VLOOKUP(J11,Precios!$A$6:$M$13,4,FALSE),"Pendiente")</x:f>
        <x:v>Pendiente</x:v>
      </x:c>
      <x:c r="O11" s="17" t="str">
        <x:f>IFERROR(VLOOKUP(J11,Precios!$A$6:$M$13,11,FALSE),"Pendiente")</x:f>
        <x:v>Pendiente</x:v>
      </x:c>
      <x:c r="P11" s="20" t="str">
        <x:f>IFERROR(VLOOKUP(J11,Precios!$A$6:$M$13,9,FALSE),"Pendiente")</x:f>
        <x:v>Pendiente</x:v>
      </x:c>
      <x:c r="Q11" s="3" t="str">
        <x:v>MXN</x:v>
      </x:c>
      <x:c r="R11" s="19" t="str">
        <x:f>IFERROR(VLOOKUP(J11,Precios!$A$6:$M$13,5,FALSE),"Pendiente")</x:f>
        <x:v>Pendiente</x:v>
      </x:c>
      <x:c r="S11" s="17" t="str">
        <x:f>IFERROR(VLOOKUP(J11,Precios!$A$6:$M$13,7,FALSE),"Pendiente")</x:f>
        <x:v>Pendiente</x:v>
      </x:c>
      <x:c r="T11" s="15" t="str">
        <x:f>IF(S11="Excluido",IFERROR(VLOOKUP(J11,Precios!$A$6:$M$13,8,FALSE),"Pendiente"),"No aplica")</x:f>
        <x:v>No aplica</x:v>
      </x:c>
      <x:c r="U11" s="3" t="str">
        <x:v>Por confirmar</x:v>
      </x:c>
      <x:c r="V11" s="17" t="str">
        <x:f>IFERROR(VLOOKUP(J11,Precios!$A$6:$M$13,13,FALSE),"Pendiente")</x:f>
        <x:v>Pendiente</x:v>
      </x:c>
      <x:c r="W11" s="3" t="str">
        <x:v>Escenario propuesto S4; no inventario</x:v>
      </x:c>
      <x:c r="X11" s="3" t="str">
        <x:v>Pendiente de cotizar</x:v>
      </x:c>
    </x:row>
    <x:row r="12" ht="78" customHeight="1">
      <x:c r="A12" s="3" t="str">
        <x:v>C07</x:v>
      </x:c>
      <x:c r="B12" s="3" t="str">
        <x:v>Electrónica, fuentes y protección</x:v>
      </x:c>
      <x:c r="C12" s="3" t="str">
        <x:v>CAPEX</x:v>
      </x:c>
      <x:c r="D12" s="7" t="n">
        <x:v>1</x:v>
      </x:c>
      <x:c r="E12" s="3" t="str">
        <x:v>conjunto</x:v>
      </x:c>
      <x:c r="F12" s="19" t="str">
        <x:f>IFERROR(VLOOKUP(J12,Precios!$A$6:$M$13,10,FALSE),"Pendiente")</x:f>
        <x:v>Pendiente</x:v>
      </x:c>
      <x:c r="G12" s="16" t="str">
        <x:f>IF(NOT(ISNUMBER(D12)),"Pendiente",IF(D12&lt;0,"Revisar",IF(D12=0,0,IF(ISNUMBER(F12),ROUND(D12*F12,2),"Pendiente"))))</x:f>
        <x:v>Pendiente</x:v>
      </x:c>
      <x:c r="H12" s="7" t="str">
        <x:v>Pendiente</x:v>
      </x:c>
      <x:c r="I12" s="16" t="str">
        <x:f>IF(NOT(ISNUMBER(D12)),"Pendiente",IF(D12&lt;0,"Revisar",IF(D12=0,0,IF(H12="Comprar",G12,IF(OR(H12="Propio",H12="Donado",H12="Prestado",H12="Voluntario"),0,"Pendiente")))))</x:f>
        <x:v>Pendiente</x:v>
      </x:c>
      <x:c r="J12" s="7" t="str"/>
      <x:c r="K12" s="3" t="str">
        <x:v>Tres canales de potencia y bloqueo manual; separar electricidad de salpicaduras.</x:v>
      </x:c>
      <x:c r="L12" s="3" t="str">
        <x:v>control</x:v>
      </x:c>
      <x:c r="M12" s="17" t="str">
        <x:f>IFERROR(VLOOKUP(J12,Precios!$A$6:$M$13,3,FALSE),"Pendiente")</x:f>
        <x:v>Pendiente</x:v>
      </x:c>
      <x:c r="N12" s="17" t="str">
        <x:f>IFERROR(VLOOKUP(J12,Precios!$A$6:$M$13,4,FALSE),"Pendiente")</x:f>
        <x:v>Pendiente</x:v>
      </x:c>
      <x:c r="O12" s="17" t="str">
        <x:f>IFERROR(VLOOKUP(J12,Precios!$A$6:$M$13,11,FALSE),"Pendiente")</x:f>
        <x:v>Pendiente</x:v>
      </x:c>
      <x:c r="P12" s="20" t="str">
        <x:f>IFERROR(VLOOKUP(J12,Precios!$A$6:$M$13,9,FALSE),"Pendiente")</x:f>
        <x:v>Pendiente</x:v>
      </x:c>
      <x:c r="Q12" s="3" t="str">
        <x:v>MXN</x:v>
      </x:c>
      <x:c r="R12" s="19" t="str">
        <x:f>IFERROR(VLOOKUP(J12,Precios!$A$6:$M$13,5,FALSE),"Pendiente")</x:f>
        <x:v>Pendiente</x:v>
      </x:c>
      <x:c r="S12" s="17" t="str">
        <x:f>IFERROR(VLOOKUP(J12,Precios!$A$6:$M$13,7,FALSE),"Pendiente")</x:f>
        <x:v>Pendiente</x:v>
      </x:c>
      <x:c r="T12" s="15" t="str">
        <x:f>IF(S12="Excluido",IFERROR(VLOOKUP(J12,Precios!$A$6:$M$13,8,FALSE),"Pendiente"),"No aplica")</x:f>
        <x:v>No aplica</x:v>
      </x:c>
      <x:c r="U12" s="3" t="str">
        <x:v>Por confirmar</x:v>
      </x:c>
      <x:c r="V12" s="17" t="str">
        <x:f>IFERROR(VLOOKUP(J12,Precios!$A$6:$M$13,13,FALSE),"Pendiente")</x:f>
        <x:v>Pendiente</x:v>
      </x:c>
      <x:c r="W12" s="3" t="str">
        <x:v>Escenario propuesto S4; no inventario</x:v>
      </x:c>
      <x:c r="X12" s="3" t="str">
        <x:v>Pendiente de cotizar</x:v>
      </x:c>
    </x:row>
    <x:row r="13" ht="78" customHeight="1">
      <x:c r="A13" s="3" t="str">
        <x:v>C08</x:v>
      </x:c>
      <x:c r="B13" s="3" t="str">
        <x:v>Instalación y firmware</x:v>
      </x:c>
      <x:c r="C13" s="3" t="str">
        <x:v>CAPEX</x:v>
      </x:c>
      <x:c r="D13" s="7"/>
      <x:c r="E13" s="3" t="str">
        <x:v>h</x:v>
      </x:c>
      <x:c r="F13" s="19" t="str">
        <x:f>IFERROR(VLOOKUP(J13,Precios!$A$6:$M$13,10,FALSE),"Pendiente")</x:f>
        <x:v>Pendiente</x:v>
      </x:c>
      <x:c r="G13" s="16" t="str">
        <x:f>IF(NOT(ISNUMBER(D13)),"Pendiente",IF(D13&lt;0,"Revisar",IF(D13=0,0,IF(ISNUMBER(F13),ROUND(D13*F13,2),"Pendiente"))))</x:f>
        <x:v>Pendiente</x:v>
      </x:c>
      <x:c r="H13" s="7" t="str">
        <x:v>Pendiente</x:v>
      </x:c>
      <x:c r="I13" s="16" t="str">
        <x:f>IF(NOT(ISNUMBER(D13)),"Pendiente",IF(D13&lt;0,"Revisar",IF(D13=0,0,IF(H13="Comprar",G13,IF(OR(H13="Propio",H13="Donado",H13="Prestado",H13="Voluntario"),0,"Pendiente")))))</x:f>
        <x:v>Pendiente</x:v>
      </x:c>
      <x:c r="J13" s="7" t="str"/>
      <x:c r="K13" s="3" t="str">
        <x:v>Horas y tarifa por cotizar; incluir registro de operación y entrenamiento.</x:v>
      </x:c>
      <x:c r="L13" s="3" t="str">
        <x:v>piloto</x:v>
      </x:c>
      <x:c r="M13" s="17" t="str">
        <x:f>IFERROR(VLOOKUP(J13,Precios!$A$6:$M$13,3,FALSE),"Pendiente")</x:f>
        <x:v>Pendiente</x:v>
      </x:c>
      <x:c r="N13" s="17" t="str">
        <x:f>IFERROR(VLOOKUP(J13,Precios!$A$6:$M$13,4,FALSE),"Pendiente")</x:f>
        <x:v>Pendiente</x:v>
      </x:c>
      <x:c r="O13" s="17" t="str">
        <x:f>IFERROR(VLOOKUP(J13,Precios!$A$6:$M$13,11,FALSE),"Pendiente")</x:f>
        <x:v>Pendiente</x:v>
      </x:c>
      <x:c r="P13" s="20" t="str">
        <x:f>IFERROR(VLOOKUP(J13,Precios!$A$6:$M$13,9,FALSE),"Pendiente")</x:f>
        <x:v>Pendiente</x:v>
      </x:c>
      <x:c r="Q13" s="3" t="str">
        <x:v>MXN</x:v>
      </x:c>
      <x:c r="R13" s="19" t="str">
        <x:f>IFERROR(VLOOKUP(J13,Precios!$A$6:$M$13,5,FALSE),"Pendiente")</x:f>
        <x:v>Pendiente</x:v>
      </x:c>
      <x:c r="S13" s="17" t="str">
        <x:f>IFERROR(VLOOKUP(J13,Precios!$A$6:$M$13,7,FALSE),"Pendiente")</x:f>
        <x:v>Pendiente</x:v>
      </x:c>
      <x:c r="T13" s="15" t="str">
        <x:f>IF(S13="Excluido",IFERROR(VLOOKUP(J13,Precios!$A$6:$M$13,8,FALSE),"Pendiente"),"No aplica")</x:f>
        <x:v>No aplica</x:v>
      </x:c>
      <x:c r="U13" s="3" t="str">
        <x:v>Por confirmar</x:v>
      </x:c>
      <x:c r="V13" s="17" t="str">
        <x:f>IFERROR(VLOOKUP(J13,Precios!$A$6:$M$13,13,FALSE),"Pendiente")</x:f>
        <x:v>Pendiente</x:v>
      </x:c>
      <x:c r="W13" s="3" t="str">
        <x:v>Escenario propuesto S4; no inventario</x:v>
      </x:c>
      <x:c r="X13" s="3" t="str">
        <x:v>Pendiente de cotizar</x:v>
      </x:c>
    </x:row>
    <x:row r="14" ht="78" customHeight="1">
      <x:c r="A14" s="3" t="str">
        <x:v>C09</x:v>
      </x:c>
      <x:c r="B14" s="3" t="str">
        <x:v>Sustrato y semillas</x:v>
      </x:c>
      <x:c r="C14" s="3" t="str">
        <x:v>OPEX</x:v>
      </x:c>
      <x:c r="D14" s="7" t="n">
        <x:v>1</x:v>
      </x:c>
      <x:c r="E14" s="3" t="str">
        <x:v>lote</x:v>
      </x:c>
      <x:c r="F14" s="19" t="str">
        <x:f>IFERROR(VLOOKUP(J14,Precios!$A$6:$M$13,10,FALSE),"Pendiente")</x:f>
        <x:v>Pendiente</x:v>
      </x:c>
      <x:c r="G14" s="16" t="str">
        <x:f>IF(NOT(ISNUMBER(D14)),"Pendiente",IF(D14&lt;0,"Revisar",IF(D14=0,0,IF(ISNUMBER(F14),ROUND(D14*F14,2),"Pendiente"))))</x:f>
        <x:v>Pendiente</x:v>
      </x:c>
      <x:c r="H14" s="7" t="str">
        <x:v>Pendiente</x:v>
      </x:c>
      <x:c r="I14" s="16" t="str">
        <x:f>IF(NOT(ISNUMBER(D14)),"Pendiente",IF(D14&lt;0,"Revisar",IF(D14=0,0,IF(H14="Comprar",G14,IF(OR(H14="Propio",H14="Donado",H14="Prestado",H14="Voluntario"),0,"Pendiente")))))</x:f>
        <x:v>Pendiente</x:v>
      </x:c>
      <x:c r="J14" s="7" t="str"/>
      <x:c r="K14" s="3" t="str">
        <x:v>Un ciclo exploratorio de rábano; misma variedad/lote, masa y manejo; cantidad tras área útil.</x:v>
      </x:c>
      <x:c r="L14" s="3" t="str">
        <x:v>U1–U6</x:v>
      </x:c>
      <x:c r="M14" s="17" t="str">
        <x:f>IFERROR(VLOOKUP(J14,Precios!$A$6:$M$13,3,FALSE),"Pendiente")</x:f>
        <x:v>Pendiente</x:v>
      </x:c>
      <x:c r="N14" s="17" t="str">
        <x:f>IFERROR(VLOOKUP(J14,Precios!$A$6:$M$13,4,FALSE),"Pendiente")</x:f>
        <x:v>Pendiente</x:v>
      </x:c>
      <x:c r="O14" s="17" t="str">
        <x:f>IFERROR(VLOOKUP(J14,Precios!$A$6:$M$13,11,FALSE),"Pendiente")</x:f>
        <x:v>Pendiente</x:v>
      </x:c>
      <x:c r="P14" s="20" t="str">
        <x:f>IFERROR(VLOOKUP(J14,Precios!$A$6:$M$13,9,FALSE),"Pendiente")</x:f>
        <x:v>Pendiente</x:v>
      </x:c>
      <x:c r="Q14" s="3" t="str">
        <x:v>MXN</x:v>
      </x:c>
      <x:c r="R14" s="19" t="str">
        <x:f>IFERROR(VLOOKUP(J14,Precios!$A$6:$M$13,5,FALSE),"Pendiente")</x:f>
        <x:v>Pendiente</x:v>
      </x:c>
      <x:c r="S14" s="17" t="str">
        <x:f>IFERROR(VLOOKUP(J14,Precios!$A$6:$M$13,7,FALSE),"Pendiente")</x:f>
        <x:v>Pendiente</x:v>
      </x:c>
      <x:c r="T14" s="15" t="str">
        <x:f>IF(S14="Excluido",IFERROR(VLOOKUP(J14,Precios!$A$6:$M$13,8,FALSE),"Pendiente"),"No aplica")</x:f>
        <x:v>No aplica</x:v>
      </x:c>
      <x:c r="U14" s="3" t="str">
        <x:v>Por confirmar</x:v>
      </x:c>
      <x:c r="V14" s="17" t="str">
        <x:f>IFERROR(VLOOKUP(J14,Precios!$A$6:$M$13,13,FALSE),"Pendiente")</x:f>
        <x:v>Pendiente</x:v>
      </x:c>
      <x:c r="W14" s="3" t="str">
        <x:v>Escenario propuesto S4; no inventario</x:v>
      </x:c>
      <x:c r="X14" s="3" t="str">
        <x:v>Pendiente de cotizar</x:v>
      </x:c>
    </x:row>
    <x:row r="15" ht="78" customHeight="1">
      <x:c r="A15" s="3" t="str">
        <x:v>C10</x:v>
      </x:c>
      <x:c r="B15" s="3" t="str">
        <x:v>Agua de aporte</x:v>
      </x:c>
      <x:c r="C15" s="3" t="str">
        <x:v>OPEX</x:v>
      </x:c>
      <x:c r="D15" s="7"/>
      <x:c r="E15" s="3" t="str">
        <x:v>m3</x:v>
      </x:c>
      <x:c r="F15" s="19" t="str">
        <x:f>IFERROR(VLOOKUP(J15,Precios!$A$6:$M$13,10,FALSE),"Pendiente")</x:f>
        <x:v>Pendiente</x:v>
      </x:c>
      <x:c r="G15" s="16" t="str">
        <x:f>IF(NOT(ISNUMBER(D15)),"Pendiente",IF(D15&lt;0,"Revisar",IF(D15=0,0,IF(ISNUMBER(F15),ROUND(D15*F15,2),"Pendiente"))))</x:f>
        <x:v>Pendiente</x:v>
      </x:c>
      <x:c r="H15" s="7" t="str">
        <x:v>Pendiente</x:v>
      </x:c>
      <x:c r="I15" s="16" t="str">
        <x:f>IF(NOT(ISNUMBER(D15)),"Pendiente",IF(D15&lt;0,"Revisar",IF(D15=0,0,IF(H15="Comprar",G15,IF(OR(H15="Propio",H15="Donado",H15="Prestado",H15="Voluntario"),0,"Pendiente")))))</x:f>
        <x:v>Pendiente</x:v>
      </x:c>
      <x:c r="J15" s="7" t="str"/>
      <x:c r="K15" s="3" t="str">
        <x:v>Volumen medido; tarifa según recibo/suministro; no agua gratis supuesta.</x:v>
      </x:c>
      <x:c r="L15" s="3" t="str">
        <x:v>E2</x:v>
      </x:c>
      <x:c r="M15" s="17" t="str">
        <x:f>IFERROR(VLOOKUP(J15,Precios!$A$6:$M$13,3,FALSE),"Pendiente")</x:f>
        <x:v>Pendiente</x:v>
      </x:c>
      <x:c r="N15" s="17" t="str">
        <x:f>IFERROR(VLOOKUP(J15,Precios!$A$6:$M$13,4,FALSE),"Pendiente")</x:f>
        <x:v>Pendiente</x:v>
      </x:c>
      <x:c r="O15" s="17" t="str">
        <x:f>IFERROR(VLOOKUP(J15,Precios!$A$6:$M$13,11,FALSE),"Pendiente")</x:f>
        <x:v>Pendiente</x:v>
      </x:c>
      <x:c r="P15" s="20" t="str">
        <x:f>IFERROR(VLOOKUP(J15,Precios!$A$6:$M$13,9,FALSE),"Pendiente")</x:f>
        <x:v>Pendiente</x:v>
      </x:c>
      <x:c r="Q15" s="3" t="str">
        <x:v>MXN</x:v>
      </x:c>
      <x:c r="R15" s="19" t="str">
        <x:f>IFERROR(VLOOKUP(J15,Precios!$A$6:$M$13,5,FALSE),"Pendiente")</x:f>
        <x:v>Pendiente</x:v>
      </x:c>
      <x:c r="S15" s="17" t="str">
        <x:f>IFERROR(VLOOKUP(J15,Precios!$A$6:$M$13,7,FALSE),"Pendiente")</x:f>
        <x:v>Pendiente</x:v>
      </x:c>
      <x:c r="T15" s="15" t="str">
        <x:f>IF(S15="Excluido",IFERROR(VLOOKUP(J15,Precios!$A$6:$M$13,8,FALSE),"Pendiente"),"No aplica")</x:f>
        <x:v>No aplica</x:v>
      </x:c>
      <x:c r="U15" s="3" t="str">
        <x:v>Por confirmar</x:v>
      </x:c>
      <x:c r="V15" s="17" t="str">
        <x:f>IFERROR(VLOOKUP(J15,Precios!$A$6:$M$13,13,FALSE),"Pendiente")</x:f>
        <x:v>Pendiente</x:v>
      </x:c>
      <x:c r="W15" s="3" t="str">
        <x:v>Escenario propuesto S4; no inventario</x:v>
      </x:c>
      <x:c r="X15" s="3" t="str">
        <x:v>Pendiente de cotizar</x:v>
      </x:c>
    </x:row>
    <x:row r="16" ht="78" customHeight="1">
      <x:c r="A16" s="3" t="str">
        <x:v>C11</x:v>
      </x:c>
      <x:c r="B16" s="3" t="str">
        <x:v>Electricidad</x:v>
      </x:c>
      <x:c r="C16" s="3" t="str">
        <x:v>OPEX</x:v>
      </x:c>
      <x:c r="D16" s="7"/>
      <x:c r="E16" s="3" t="str">
        <x:v>kWh</x:v>
      </x:c>
      <x:c r="F16" s="19" t="str">
        <x:f>IFERROR(VLOOKUP(J16,Precios!$A$6:$M$13,10,FALSE),"Pendiente")</x:f>
        <x:v>Pendiente</x:v>
      </x:c>
      <x:c r="G16" s="16" t="str">
        <x:f>IF(NOT(ISNUMBER(D16)),"Pendiente",IF(D16&lt;0,"Revisar",IF(D16=0,0,IF(ISNUMBER(F16),ROUND(D16*F16,2),"Pendiente"))))</x:f>
        <x:v>Pendiente</x:v>
      </x:c>
      <x:c r="H16" s="7" t="str">
        <x:v>Pendiente</x:v>
      </x:c>
      <x:c r="I16" s="16" t="str">
        <x:f>IF(NOT(ISNUMBER(D16)),"Pendiente",IF(D16&lt;0,"Revisar",IF(D16=0,0,IF(H16="Comprar",G16,IF(OR(H16="Propio",H16="Donado",H16="Prestado",H16="Voluntario"),0,"Pendiente")))))</x:f>
        <x:v>Pendiente</x:v>
      </x:c>
      <x:c r="J16" s="7" t="str"/>
      <x:c r="K16" s="3" t="str">
        <x:v>Medir bombas/control durante un ciclo; tarifa según recibo.</x:v>
      </x:c>
      <x:c r="L16" s="3" t="str">
        <x:v>E2</x:v>
      </x:c>
      <x:c r="M16" s="17" t="str">
        <x:f>IFERROR(VLOOKUP(J16,Precios!$A$6:$M$13,3,FALSE),"Pendiente")</x:f>
        <x:v>Pendiente</x:v>
      </x:c>
      <x:c r="N16" s="17" t="str">
        <x:f>IFERROR(VLOOKUP(J16,Precios!$A$6:$M$13,4,FALSE),"Pendiente")</x:f>
        <x:v>Pendiente</x:v>
      </x:c>
      <x:c r="O16" s="17" t="str">
        <x:f>IFERROR(VLOOKUP(J16,Precios!$A$6:$M$13,11,FALSE),"Pendiente")</x:f>
        <x:v>Pendiente</x:v>
      </x:c>
      <x:c r="P16" s="20" t="str">
        <x:f>IFERROR(VLOOKUP(J16,Precios!$A$6:$M$13,9,FALSE),"Pendiente")</x:f>
        <x:v>Pendiente</x:v>
      </x:c>
      <x:c r="Q16" s="3" t="str">
        <x:v>MXN</x:v>
      </x:c>
      <x:c r="R16" s="19" t="str">
        <x:f>IFERROR(VLOOKUP(J16,Precios!$A$6:$M$13,5,FALSE),"Pendiente")</x:f>
        <x:v>Pendiente</x:v>
      </x:c>
      <x:c r="S16" s="17" t="str">
        <x:f>IFERROR(VLOOKUP(J16,Precios!$A$6:$M$13,7,FALSE),"Pendiente")</x:f>
        <x:v>Pendiente</x:v>
      </x:c>
      <x:c r="T16" s="15" t="str">
        <x:f>IF(S16="Excluido",IFERROR(VLOOKUP(J16,Precios!$A$6:$M$13,8,FALSE),"Pendiente"),"No aplica")</x:f>
        <x:v>No aplica</x:v>
      </x:c>
      <x:c r="U16" s="3" t="str">
        <x:v>Por confirmar</x:v>
      </x:c>
      <x:c r="V16" s="17" t="str">
        <x:f>IFERROR(VLOOKUP(J16,Precios!$A$6:$M$13,13,FALSE),"Pendiente")</x:f>
        <x:v>Pendiente</x:v>
      </x:c>
      <x:c r="W16" s="3" t="str">
        <x:v>Escenario propuesto S4; no inventario</x:v>
      </x:c>
      <x:c r="X16" s="3" t="str">
        <x:v>Pendiente de cotizar</x:v>
      </x:c>
    </x:row>
    <x:row r="17" ht="78" customHeight="1">
      <x:c r="A17" s="3" t="str">
        <x:v>C12</x:v>
      </x:c>
      <x:c r="B17" s="3" t="str">
        <x:v>Operación y mantenimiento</x:v>
      </x:c>
      <x:c r="C17" s="3" t="str">
        <x:v>OPEX</x:v>
      </x:c>
      <x:c r="D17" s="7"/>
      <x:c r="E17" s="3" t="str">
        <x:v>h</x:v>
      </x:c>
      <x:c r="F17" s="19" t="str">
        <x:f>IFERROR(VLOOKUP(J17,Precios!$A$6:$M$13,10,FALSE),"Pendiente")</x:f>
        <x:v>Pendiente</x:v>
      </x:c>
      <x:c r="G17" s="16" t="str">
        <x:f>IF(NOT(ISNUMBER(D17)),"Pendiente",IF(D17&lt;0,"Revisar",IF(D17=0,0,IF(ISNUMBER(F17),ROUND(D17*F17,2),"Pendiente"))))</x:f>
        <x:v>Pendiente</x:v>
      </x:c>
      <x:c r="H17" s="7" t="str">
        <x:v>Pendiente</x:v>
      </x:c>
      <x:c r="I17" s="16" t="str">
        <x:f>IF(NOT(ISNUMBER(D17)),"Pendiente",IF(D17&lt;0,"Revisar",IF(D17=0,0,IF(H17="Comprar",G17,IF(OR(H17="Propio",H17="Donado",H17="Prestado",H17="Voluntario"),0,"Pendiente")))))</x:f>
        <x:v>Pendiente</x:v>
      </x:c>
      <x:c r="J17" s="7" t="str"/>
      <x:c r="K17" s="3" t="str">
        <x:v>Cronometrar riego, limpieza y registro; valorar trabajo voluntario por separado.</x:v>
      </x:c>
      <x:c r="L17" s="3" t="str">
        <x:v>piloto</x:v>
      </x:c>
      <x:c r="M17" s="17" t="str">
        <x:f>IFERROR(VLOOKUP(J17,Precios!$A$6:$M$13,3,FALSE),"Pendiente")</x:f>
        <x:v>Pendiente</x:v>
      </x:c>
      <x:c r="N17" s="17" t="str">
        <x:f>IFERROR(VLOOKUP(J17,Precios!$A$6:$M$13,4,FALSE),"Pendiente")</x:f>
        <x:v>Pendiente</x:v>
      </x:c>
      <x:c r="O17" s="17" t="str">
        <x:f>IFERROR(VLOOKUP(J17,Precios!$A$6:$M$13,11,FALSE),"Pendiente")</x:f>
        <x:v>Pendiente</x:v>
      </x:c>
      <x:c r="P17" s="20" t="str">
        <x:f>IFERROR(VLOOKUP(J17,Precios!$A$6:$M$13,9,FALSE),"Pendiente")</x:f>
        <x:v>Pendiente</x:v>
      </x:c>
      <x:c r="Q17" s="3" t="str">
        <x:v>MXN</x:v>
      </x:c>
      <x:c r="R17" s="19" t="str">
        <x:f>IFERROR(VLOOKUP(J17,Precios!$A$6:$M$13,5,FALSE),"Pendiente")</x:f>
        <x:v>Pendiente</x:v>
      </x:c>
      <x:c r="S17" s="17" t="str">
        <x:f>IFERROR(VLOOKUP(J17,Precios!$A$6:$M$13,7,FALSE),"Pendiente")</x:f>
        <x:v>Pendiente</x:v>
      </x:c>
      <x:c r="T17" s="15" t="str">
        <x:f>IF(S17="Excluido",IFERROR(VLOOKUP(J17,Precios!$A$6:$M$13,8,FALSE),"Pendiente"),"No aplica")</x:f>
        <x:v>No aplica</x:v>
      </x:c>
      <x:c r="U17" s="3" t="str">
        <x:v>Por confirmar</x:v>
      </x:c>
      <x:c r="V17" s="17" t="str">
        <x:f>IFERROR(VLOOKUP(J17,Precios!$A$6:$M$13,13,FALSE),"Pendiente")</x:f>
        <x:v>Pendiente</x:v>
      </x:c>
      <x:c r="W17" s="3" t="str">
        <x:v>Escenario propuesto S4; no inventario</x:v>
      </x:c>
      <x:c r="X17" s="3" t="str">
        <x:v>Pendiente de cotizar</x:v>
      </x:c>
    </x:row>
    <x:row r="18" ht="78" customHeight="1">
      <x:c r="A18" s="3" t="str">
        <x:v>C13</x:v>
      </x:c>
      <x:c r="B18" s="3" t="str">
        <x:v>Revisión agronómica y análisis</x:v>
      </x:c>
      <x:c r="C18" s="3" t="str">
        <x:v>OPEX</x:v>
      </x:c>
      <x:c r="D18" s="7" t="n">
        <x:v>1</x:v>
      </x:c>
      <x:c r="E18" s="3" t="str">
        <x:v>servicio</x:v>
      </x:c>
      <x:c r="F18" s="19" t="str">
        <x:f>IFERROR(VLOOKUP(J18,Precios!$A$6:$M$13,10,FALSE),"Pendiente")</x:f>
        <x:v>Pendiente</x:v>
      </x:c>
      <x:c r="G18" s="16" t="str">
        <x:f>IF(NOT(ISNUMBER(D18)),"Pendiente",IF(D18&lt;0,"Revisar",IF(D18=0,0,IF(ISNUMBER(F18),ROUND(D18*F18,2),"Pendiente"))))</x:f>
        <x:v>Pendiente</x:v>
      </x:c>
      <x:c r="H18" s="7" t="str">
        <x:v>Pendiente</x:v>
      </x:c>
      <x:c r="I18" s="16" t="str">
        <x:f>IF(NOT(ISNUMBER(D18)),"Pendiente",IF(D18&lt;0,"Revisar",IF(D18=0,0,IF(H18="Comprar",G18,IF(OR(H18="Propio",H18="Donado",H18="Prestado",H18="Voluntario"),0,"Pendiente")))))</x:f>
        <x:v>Pendiente</x:v>
      </x:c>
      <x:c r="J18" s="7" t="str"/>
      <x:c r="K18" s="3" t="str">
        <x:v>Verificar agua, sustrato y criterio de cosecha; laboratorio/mentor aún no comprometidos.</x:v>
      </x:c>
      <x:c r="L18" s="3" t="str">
        <x:v>validación</x:v>
      </x:c>
      <x:c r="M18" s="17" t="str">
        <x:f>IFERROR(VLOOKUP(J18,Precios!$A$6:$M$13,3,FALSE),"Pendiente")</x:f>
        <x:v>Pendiente</x:v>
      </x:c>
      <x:c r="N18" s="17" t="str">
        <x:f>IFERROR(VLOOKUP(J18,Precios!$A$6:$M$13,4,FALSE),"Pendiente")</x:f>
        <x:v>Pendiente</x:v>
      </x:c>
      <x:c r="O18" s="17" t="str">
        <x:f>IFERROR(VLOOKUP(J18,Precios!$A$6:$M$13,11,FALSE),"Pendiente")</x:f>
        <x:v>Pendiente</x:v>
      </x:c>
      <x:c r="P18" s="20" t="str">
        <x:f>IFERROR(VLOOKUP(J18,Precios!$A$6:$M$13,9,FALSE),"Pendiente")</x:f>
        <x:v>Pendiente</x:v>
      </x:c>
      <x:c r="Q18" s="3" t="str">
        <x:v>MXN</x:v>
      </x:c>
      <x:c r="R18" s="19" t="str">
        <x:f>IFERROR(VLOOKUP(J18,Precios!$A$6:$M$13,5,FALSE),"Pendiente")</x:f>
        <x:v>Pendiente</x:v>
      </x:c>
      <x:c r="S18" s="17" t="str">
        <x:f>IFERROR(VLOOKUP(J18,Precios!$A$6:$M$13,7,FALSE),"Pendiente")</x:f>
        <x:v>Pendiente</x:v>
      </x:c>
      <x:c r="T18" s="15" t="str">
        <x:f>IF(S18="Excluido",IFERROR(VLOOKUP(J18,Precios!$A$6:$M$13,8,FALSE),"Pendiente"),"No aplica")</x:f>
        <x:v>No aplica</x:v>
      </x:c>
      <x:c r="U18" s="3" t="str">
        <x:v>Por confirmar</x:v>
      </x:c>
      <x:c r="V18" s="17" t="str">
        <x:f>IFERROR(VLOOKUP(J18,Precios!$A$6:$M$13,13,FALSE),"Pendiente")</x:f>
        <x:v>Pendiente</x:v>
      </x:c>
      <x:c r="W18" s="3" t="str">
        <x:v>Escenario propuesto S4; no inventario</x:v>
      </x:c>
      <x:c r="X18" s="3" t="str">
        <x:v>Pendiente de cotizar</x:v>
      </x:c>
    </x:row>
    <x:row r="19" ht="78" customHeight="1">
      <x:c r="A19" s="3" t="str">
        <x:v>C14</x:v>
      </x:c>
      <x:c r="B19" s="3" t="str">
        <x:v>Calibración y control de medida</x:v>
      </x:c>
      <x:c r="C19" s="3" t="str">
        <x:v>OPEX</x:v>
      </x:c>
      <x:c r="D19" s="7" t="n">
        <x:v>1</x:v>
      </x:c>
      <x:c r="E19" s="3" t="str">
        <x:v>servicio</x:v>
      </x:c>
      <x:c r="F19" s="19" t="str">
        <x:f>IFERROR(VLOOKUP(J19,Precios!$A$6:$M$13,10,FALSE),"Pendiente")</x:f>
        <x:v>Pendiente</x:v>
      </x:c>
      <x:c r="G19" s="16" t="str">
        <x:f>IF(NOT(ISNUMBER(D19)),"Pendiente",IF(D19&lt;0,"Revisar",IF(D19=0,0,IF(ISNUMBER(F19),ROUND(D19*F19,2),"Pendiente"))))</x:f>
        <x:v>Pendiente</x:v>
      </x:c>
      <x:c r="H19" s="7" t="str">
        <x:v>Pendiente</x:v>
      </x:c>
      <x:c r="I19" s="16" t="str">
        <x:f>IF(NOT(ISNUMBER(D19)),"Pendiente",IF(D19&lt;0,"Revisar",IF(D19=0,0,IF(H19="Comprar",G19,IF(OR(H19="Propio",H19="Donado",H19="Prestado",H19="Voluntario"),0,"Pendiente")))))</x:f>
        <x:v>Pendiente</x:v>
      </x:c>
      <x:c r="J19" s="7" t="str"/>
      <x:c r="K19" s="3" t="str">
        <x:v>Masas patrón, volumen patrón y registro de incertidumbre; resolución no es exactitud.</x:v>
      </x:c>
      <x:c r="L19" s="3" t="str">
        <x:v>E2</x:v>
      </x:c>
      <x:c r="M19" s="17" t="str">
        <x:f>IFERROR(VLOOKUP(J19,Precios!$A$6:$M$13,3,FALSE),"Pendiente")</x:f>
        <x:v>Pendiente</x:v>
      </x:c>
      <x:c r="N19" s="17" t="str">
        <x:f>IFERROR(VLOOKUP(J19,Precios!$A$6:$M$13,4,FALSE),"Pendiente")</x:f>
        <x:v>Pendiente</x:v>
      </x:c>
      <x:c r="O19" s="17" t="str">
        <x:f>IFERROR(VLOOKUP(J19,Precios!$A$6:$M$13,11,FALSE),"Pendiente")</x:f>
        <x:v>Pendiente</x:v>
      </x:c>
      <x:c r="P19" s="20" t="str">
        <x:f>IFERROR(VLOOKUP(J19,Precios!$A$6:$M$13,9,FALSE),"Pendiente")</x:f>
        <x:v>Pendiente</x:v>
      </x:c>
      <x:c r="Q19" s="3" t="str">
        <x:v>MXN</x:v>
      </x:c>
      <x:c r="R19" s="19" t="str">
        <x:f>IFERROR(VLOOKUP(J19,Precios!$A$6:$M$13,5,FALSE),"Pendiente")</x:f>
        <x:v>Pendiente</x:v>
      </x:c>
      <x:c r="S19" s="17" t="str">
        <x:f>IFERROR(VLOOKUP(J19,Precios!$A$6:$M$13,7,FALSE),"Pendiente")</x:f>
        <x:v>Pendiente</x:v>
      </x:c>
      <x:c r="T19" s="15" t="str">
        <x:f>IF(S19="Excluido",IFERROR(VLOOKUP(J19,Precios!$A$6:$M$13,8,FALSE),"Pendiente"),"No aplica")</x:f>
        <x:v>No aplica</x:v>
      </x:c>
      <x:c r="U19" s="3" t="str">
        <x:v>Por confirmar</x:v>
      </x:c>
      <x:c r="V19" s="17" t="str">
        <x:f>IFERROR(VLOOKUP(J19,Precios!$A$6:$M$13,13,FALSE),"Pendiente")</x:f>
        <x:v>Pendiente</x:v>
      </x:c>
      <x:c r="W19" s="3" t="str">
        <x:v>Escenario propuesto S4; no inventario</x:v>
      </x:c>
      <x:c r="X19" s="3" t="str">
        <x:v>Pendiente de cotizar</x:v>
      </x:c>
    </x:row>
    <x:row r="20" ht="78" customHeight="1">
      <x:c r="A20" s="3" t="str">
        <x:v>C15</x:v>
      </x:c>
      <x:c r="B20" s="3" t="str">
        <x:v>Consumibles y reposición</x:v>
      </x:c>
      <x:c r="C20" s="3" t="str">
        <x:v>OPEX</x:v>
      </x:c>
      <x:c r="D20" s="7" t="n">
        <x:v>1</x:v>
      </x:c>
      <x:c r="E20" s="3" t="str">
        <x:v>lote</x:v>
      </x:c>
      <x:c r="F20" s="19" t="str">
        <x:f>IFERROR(VLOOKUP(J20,Precios!$A$6:$M$13,10,FALSE),"Pendiente")</x:f>
        <x:v>Pendiente</x:v>
      </x:c>
      <x:c r="G20" s="16" t="str">
        <x:f>IF(NOT(ISNUMBER(D20)),"Pendiente",IF(D20&lt;0,"Revisar",IF(D20=0,0,IF(ISNUMBER(F20),ROUND(D20*F20,2),"Pendiente"))))</x:f>
        <x:v>Pendiente</x:v>
      </x:c>
      <x:c r="H20" s="7" t="str">
        <x:v>Pendiente</x:v>
      </x:c>
      <x:c r="I20" s="16" t="str">
        <x:f>IF(NOT(ISNUMBER(D20)),"Pendiente",IF(D20&lt;0,"Revisar",IF(D20=0,0,IF(H20="Comprar",G20,IF(OR(H20="Propio",H20="Donado",H20="Prestado",H20="Voluntario"),0,"Pendiente")))))</x:f>
        <x:v>Pendiente</x:v>
      </x:c>
      <x:c r="J20" s="7" t="str"/>
      <x:c r="K20" s="3" t="str">
        <x:v>Filtros, etiquetas, limpieza y repuestos definidos tras ensayo; no duplicar equipos iniciales.</x:v>
      </x:c>
      <x:c r="L20" s="3" t="str">
        <x:v>E2/E3</x:v>
      </x:c>
      <x:c r="M20" s="17" t="str">
        <x:f>IFERROR(VLOOKUP(J20,Precios!$A$6:$M$13,3,FALSE),"Pendiente")</x:f>
        <x:v>Pendiente</x:v>
      </x:c>
      <x:c r="N20" s="17" t="str">
        <x:f>IFERROR(VLOOKUP(J20,Precios!$A$6:$M$13,4,FALSE),"Pendiente")</x:f>
        <x:v>Pendiente</x:v>
      </x:c>
      <x:c r="O20" s="17" t="str">
        <x:f>IFERROR(VLOOKUP(J20,Precios!$A$6:$M$13,11,FALSE),"Pendiente")</x:f>
        <x:v>Pendiente</x:v>
      </x:c>
      <x:c r="P20" s="20" t="str">
        <x:f>IFERROR(VLOOKUP(J20,Precios!$A$6:$M$13,9,FALSE),"Pendiente")</x:f>
        <x:v>Pendiente</x:v>
      </x:c>
      <x:c r="Q20" s="3" t="str">
        <x:v>MXN</x:v>
      </x:c>
      <x:c r="R20" s="19" t="str">
        <x:f>IFERROR(VLOOKUP(J20,Precios!$A$6:$M$13,5,FALSE),"Pendiente")</x:f>
        <x:v>Pendiente</x:v>
      </x:c>
      <x:c r="S20" s="17" t="str">
        <x:f>IFERROR(VLOOKUP(J20,Precios!$A$6:$M$13,7,FALSE),"Pendiente")</x:f>
        <x:v>Pendiente</x:v>
      </x:c>
      <x:c r="T20" s="15" t="str">
        <x:f>IF(S20="Excluido",IFERROR(VLOOKUP(J20,Precios!$A$6:$M$13,8,FALSE),"Pendiente"),"No aplica")</x:f>
        <x:v>No aplica</x:v>
      </x:c>
      <x:c r="U20" s="3" t="str">
        <x:v>Por confirmar</x:v>
      </x:c>
      <x:c r="V20" s="17" t="str">
        <x:f>IFERROR(VLOOKUP(J20,Precios!$A$6:$M$13,13,FALSE),"Pendiente")</x:f>
        <x:v>Pendiente</x:v>
      </x:c>
      <x:c r="W20" s="3" t="str">
        <x:v>Escenario propuesto S4; no inventario</x:v>
      </x:c>
      <x:c r="X20" s="3" t="str">
        <x:v>Pendiente de cotizar</x:v>
      </x:c>
    </x:row>
    <x:row r="21" ht="78" customHeight="1">
      <x:c r="A21" s="3" t="str">
        <x:v>C16</x:v>
      </x:c>
      <x:c r="B21" s="3" t="str">
        <x:v>Espacio e infraestructura</x:v>
      </x:c>
      <x:c r="C21" s="3" t="str">
        <x:v>OPEX</x:v>
      </x:c>
      <x:c r="D21" s="7" t="n">
        <x:v>1</x:v>
      </x:c>
      <x:c r="E21" s="3" t="str">
        <x:v>ciclo</x:v>
      </x:c>
      <x:c r="F21" s="19" t="str">
        <x:f>IFERROR(VLOOKUP(J21,Precios!$A$6:$M$13,10,FALSE),"Pendiente")</x:f>
        <x:v>Pendiente</x:v>
      </x:c>
      <x:c r="G21" s="16" t="str">
        <x:f>IF(NOT(ISNUMBER(D21)),"Pendiente",IF(D21&lt;0,"Revisar",IF(D21=0,0,IF(ISNUMBER(F21),ROUND(D21*F21,2),"Pendiente"))))</x:f>
        <x:v>Pendiente</x:v>
      </x:c>
      <x:c r="H21" s="7" t="str">
        <x:v>Pendiente</x:v>
      </x:c>
      <x:c r="I21" s="16" t="str">
        <x:f>IF(NOT(ISNUMBER(D21)),"Pendiente",IF(D21&lt;0,"Revisar",IF(D21=0,0,IF(H21="Comprar",G21,IF(OR(H21="Propio",H21="Donado",H21="Prestado",H21="Voluntario"),0,"Pendiente")))))</x:f>
        <x:v>Pendiente</x:v>
      </x:c>
      <x:c r="J21" s="7" t="str"/>
      <x:c r="K21" s="3" t="str">
        <x:v>Sitio, sombreado y agua disponibles por confirmar; no asumir cesión gratuita.</x:v>
      </x:c>
      <x:c r="L21" s="3" t="str">
        <x:v>Tuxtla</x:v>
      </x:c>
      <x:c r="M21" s="17" t="str">
        <x:f>IFERROR(VLOOKUP(J21,Precios!$A$6:$M$13,3,FALSE),"Pendiente")</x:f>
        <x:v>Pendiente</x:v>
      </x:c>
      <x:c r="N21" s="17" t="str">
        <x:f>IFERROR(VLOOKUP(J21,Precios!$A$6:$M$13,4,FALSE),"Pendiente")</x:f>
        <x:v>Pendiente</x:v>
      </x:c>
      <x:c r="O21" s="17" t="str">
        <x:f>IFERROR(VLOOKUP(J21,Precios!$A$6:$M$13,11,FALSE),"Pendiente")</x:f>
        <x:v>Pendiente</x:v>
      </x:c>
      <x:c r="P21" s="20" t="str">
        <x:f>IFERROR(VLOOKUP(J21,Precios!$A$6:$M$13,9,FALSE),"Pendiente")</x:f>
        <x:v>Pendiente</x:v>
      </x:c>
      <x:c r="Q21" s="3" t="str">
        <x:v>MXN</x:v>
      </x:c>
      <x:c r="R21" s="19" t="str">
        <x:f>IFERROR(VLOOKUP(J21,Precios!$A$6:$M$13,5,FALSE),"Pendiente")</x:f>
        <x:v>Pendiente</x:v>
      </x:c>
      <x:c r="S21" s="17" t="str">
        <x:f>IFERROR(VLOOKUP(J21,Precios!$A$6:$M$13,7,FALSE),"Pendiente")</x:f>
        <x:v>Pendiente</x:v>
      </x:c>
      <x:c r="T21" s="15" t="str">
        <x:f>IF(S21="Excluido",IFERROR(VLOOKUP(J21,Precios!$A$6:$M$13,8,FALSE),"Pendiente"),"No aplica")</x:f>
        <x:v>No aplica</x:v>
      </x:c>
      <x:c r="U21" s="3" t="str">
        <x:v>Por confirmar</x:v>
      </x:c>
      <x:c r="V21" s="17" t="str">
        <x:f>IFERROR(VLOOKUP(J21,Precios!$A$6:$M$13,13,FALSE),"Pendiente")</x:f>
        <x:v>Pendiente</x:v>
      </x:c>
      <x:c r="W21" s="3" t="str">
        <x:v>Escenario propuesto S4; no inventario</x:v>
      </x:c>
      <x:c r="X21" s="3" t="str">
        <x:v>Pendiente de cotizar</x:v>
      </x:c>
    </x:row>
    <x:row r="22" ht="78" customHeight="1">
      <x:c r="A22" s="3" t="str">
        <x:v>C17</x:v>
      </x:c>
      <x:c r="B22" s="3" t="str">
        <x:v>Envío Lionchip</x:v>
      </x:c>
      <x:c r="C22" s="3" t="str">
        <x:v>CAPEX</x:v>
      </x:c>
      <x:c r="D22" s="7" t="n">
        <x:v>1</x:v>
      </x:c>
      <x:c r="E22" s="3" t="str">
        <x:v>pedido</x:v>
      </x:c>
      <x:c r="F22" s="19" t="str">
        <x:f>IFERROR(VLOOKUP(J22,Precios!$A$6:$M$13,10,FALSE),"Pendiente")</x:f>
        <x:v>Pendiente</x:v>
      </x:c>
      <x:c r="G22" s="16" t="str">
        <x:f>IF(NOT(ISNUMBER(D22)),"Pendiente",IF(D22&lt;0,"Revisar",IF(D22=0,0,IF(ISNUMBER(F22),ROUND(D22*F22,2),"Pendiente"))))</x:f>
        <x:v>Pendiente</x:v>
      </x:c>
      <x:c r="H22" s="7" t="str">
        <x:v>Pendiente</x:v>
      </x:c>
      <x:c r="I22" s="16" t="str">
        <x:f>IF(NOT(ISNUMBER(D22)),"Pendiente",IF(D22&lt;0,"Revisar",IF(D22=0,0,IF(H22="Comprar",G22,IF(OR(H22="Propio",H22="Donado",H22="Prestado",H22="Voluntario"),0,"Pendiente")))))</x:f>
        <x:v>Pendiente</x:v>
      </x:c>
      <x:c r="J22" s="7" t="str"/>
      <x:c r="K22" s="3" t="str">
        <x:v>Independiente de Madrid; si se compra junto, repartir un solo flete documentado.</x:v>
      </x:c>
      <x:c r="L22" s="3" t="str">
        <x:v>logística</x:v>
      </x:c>
      <x:c r="M22" s="17" t="str">
        <x:f>IFERROR(VLOOKUP(J22,Precios!$A$6:$M$13,3,FALSE),"Pendiente")</x:f>
        <x:v>Pendiente</x:v>
      </x:c>
      <x:c r="N22" s="17" t="str">
        <x:f>IFERROR(VLOOKUP(J22,Precios!$A$6:$M$13,4,FALSE),"Pendiente")</x:f>
        <x:v>Pendiente</x:v>
      </x:c>
      <x:c r="O22" s="17" t="str">
        <x:f>IFERROR(VLOOKUP(J22,Precios!$A$6:$M$13,11,FALSE),"Pendiente")</x:f>
        <x:v>Pendiente</x:v>
      </x:c>
      <x:c r="P22" s="20" t="str">
        <x:f>IFERROR(VLOOKUP(J22,Precios!$A$6:$M$13,9,FALSE),"Pendiente")</x:f>
        <x:v>Pendiente</x:v>
      </x:c>
      <x:c r="Q22" s="3" t="str">
        <x:v>MXN</x:v>
      </x:c>
      <x:c r="R22" s="19" t="str">
        <x:f>IFERROR(VLOOKUP(J22,Precios!$A$6:$M$13,5,FALSE),"Pendiente")</x:f>
        <x:v>Pendiente</x:v>
      </x:c>
      <x:c r="S22" s="17" t="str">
        <x:f>IFERROR(VLOOKUP(J22,Precios!$A$6:$M$13,7,FALSE),"Pendiente")</x:f>
        <x:v>Pendiente</x:v>
      </x:c>
      <x:c r="T22" s="15" t="str">
        <x:f>IF(S22="Excluido",IFERROR(VLOOKUP(J22,Precios!$A$6:$M$13,8,FALSE),"Pendiente"),"No aplica")</x:f>
        <x:v>No aplica</x:v>
      </x:c>
      <x:c r="U22" s="3" t="str">
        <x:v>Por confirmar</x:v>
      </x:c>
      <x:c r="V22" s="17" t="str">
        <x:f>IFERROR(VLOOKUP(J22,Precios!$A$6:$M$13,13,FALSE),"Pendiente")</x:f>
        <x:v>Pendiente</x:v>
      </x:c>
      <x:c r="W22" s="3" t="str">
        <x:v>Escenario propuesto S4; no inventario</x:v>
      </x:c>
      <x:c r="X22" s="3" t="str">
        <x:v>Pendiente de cotizar</x:v>
      </x:c>
    </x:row>
    <x:row r="23" ht="78" customHeight="1">
      <x:c r="A23" s="3" t="str">
        <x:v>C18</x:v>
      </x:c>
      <x:c r="B23" s="3" t="str">
        <x:v>Envío Steren</x:v>
      </x:c>
      <x:c r="C23" s="3" t="str">
        <x:v>CAPEX</x:v>
      </x:c>
      <x:c r="D23" s="7" t="n">
        <x:v>1</x:v>
      </x:c>
      <x:c r="E23" s="3" t="str">
        <x:v>pedido</x:v>
      </x:c>
      <x:c r="F23" s="19" t="str">
        <x:f>IFERROR(VLOOKUP(J23,Precios!$A$6:$M$13,10,FALSE),"Pendiente")</x:f>
        <x:v>Pendiente</x:v>
      </x:c>
      <x:c r="G23" s="16" t="str">
        <x:f>IF(NOT(ISNUMBER(D23)),"Pendiente",IF(D23&lt;0,"Revisar",IF(D23=0,0,IF(ISNUMBER(F23),ROUND(D23*F23,2),"Pendiente"))))</x:f>
        <x:v>Pendiente</x:v>
      </x:c>
      <x:c r="H23" s="7" t="str">
        <x:v>Pendiente</x:v>
      </x:c>
      <x:c r="I23" s="16" t="str">
        <x:f>IF(NOT(ISNUMBER(D23)),"Pendiente",IF(D23&lt;0,"Revisar",IF(D23=0,0,IF(H23="Comprar",G23,IF(OR(H23="Propio",H23="Donado",H23="Prestado",H23="Voluntario"),0,"Pendiente")))))</x:f>
        <x:v>Pendiente</x:v>
      </x:c>
      <x:c r="J23" s="7" t="str"/>
      <x:c r="K23" s="3" t="str">
        <x:v>C02/C04 en un pedido; destino y promoción pendientes.</x:v>
      </x:c>
      <x:c r="L23" s="3" t="str">
        <x:v>logística</x:v>
      </x:c>
      <x:c r="M23" s="17" t="str">
        <x:f>IFERROR(VLOOKUP(J23,Precios!$A$6:$M$13,3,FALSE),"Pendiente")</x:f>
        <x:v>Pendiente</x:v>
      </x:c>
      <x:c r="N23" s="17" t="str">
        <x:f>IFERROR(VLOOKUP(J23,Precios!$A$6:$M$13,4,FALSE),"Pendiente")</x:f>
        <x:v>Pendiente</x:v>
      </x:c>
      <x:c r="O23" s="17" t="str">
        <x:f>IFERROR(VLOOKUP(J23,Precios!$A$6:$M$13,11,FALSE),"Pendiente")</x:f>
        <x:v>Pendiente</x:v>
      </x:c>
      <x:c r="P23" s="20" t="str">
        <x:f>IFERROR(VLOOKUP(J23,Precios!$A$6:$M$13,9,FALSE),"Pendiente")</x:f>
        <x:v>Pendiente</x:v>
      </x:c>
      <x:c r="Q23" s="3" t="str">
        <x:v>MXN</x:v>
      </x:c>
      <x:c r="R23" s="19" t="str">
        <x:f>IFERROR(VLOOKUP(J23,Precios!$A$6:$M$13,5,FALSE),"Pendiente")</x:f>
        <x:v>Pendiente</x:v>
      </x:c>
      <x:c r="S23" s="17" t="str">
        <x:f>IFERROR(VLOOKUP(J23,Precios!$A$6:$M$13,7,FALSE),"Pendiente")</x:f>
        <x:v>Pendiente</x:v>
      </x:c>
      <x:c r="T23" s="15" t="str">
        <x:f>IF(S23="Excluido",IFERROR(VLOOKUP(J23,Precios!$A$6:$M$13,8,FALSE),"Pendiente"),"No aplica")</x:f>
        <x:v>No aplica</x:v>
      </x:c>
      <x:c r="U23" s="3" t="str">
        <x:v>Por confirmar</x:v>
      </x:c>
      <x:c r="V23" s="17" t="str">
        <x:f>IFERROR(VLOOKUP(J23,Precios!$A$6:$M$13,13,FALSE),"Pendiente")</x:f>
        <x:v>Pendiente</x:v>
      </x:c>
      <x:c r="W23" s="3" t="str">
        <x:v>Escenario propuesto S4; no inventario</x:v>
      </x:c>
      <x:c r="X23" s="3" t="str">
        <x:v>Pendiente de cotizar</x:v>
      </x:c>
    </x:row>
    <x:row r="24" ht="78" customHeight="1">
      <x:c r="A24" s="3" t="str">
        <x:v>C19</x:v>
      </x:c>
      <x:c r="B24" s="3" t="str">
        <x:v>Envío Home Depot</x:v>
      </x:c>
      <x:c r="C24" s="3" t="str">
        <x:v>CAPEX</x:v>
      </x:c>
      <x:c r="D24" s="7" t="n">
        <x:v>1</x:v>
      </x:c>
      <x:c r="E24" s="3" t="str">
        <x:v>pedido</x:v>
      </x:c>
      <x:c r="F24" s="19" t="str">
        <x:f>IFERROR(VLOOKUP(J24,Precios!$A$6:$M$13,10,FALSE),"Pendiente")</x:f>
        <x:v>Pendiente</x:v>
      </x:c>
      <x:c r="G24" s="16" t="str">
        <x:f>IF(NOT(ISNUMBER(D24)),"Pendiente",IF(D24&lt;0,"Revisar",IF(D24=0,0,IF(ISNUMBER(F24),ROUND(D24*F24,2),"Pendiente"))))</x:f>
        <x:v>Pendiente</x:v>
      </x:c>
      <x:c r="H24" s="7" t="str">
        <x:v>Pendiente</x:v>
      </x:c>
      <x:c r="I24" s="16" t="str">
        <x:f>IF(NOT(ISNUMBER(D24)),"Pendiente",IF(D24&lt;0,"Revisar",IF(D24=0,0,IF(H24="Comprar",G24,IF(OR(H24="Propio",H24="Donado",H24="Prestado",H24="Voluntario"),0,"Pendiente")))))</x:f>
        <x:v>Pendiente</x:v>
      </x:c>
      <x:c r="J24" s="7" t="str"/>
      <x:c r="K24" s="3" t="str">
        <x:v>Seis recipientes; volumen embalado y precio Tuxtla por confirmar.</x:v>
      </x:c>
      <x:c r="L24" s="3" t="str">
        <x:v>logística</x:v>
      </x:c>
      <x:c r="M24" s="17" t="str">
        <x:f>IFERROR(VLOOKUP(J24,Precios!$A$6:$M$13,3,FALSE),"Pendiente")</x:f>
        <x:v>Pendiente</x:v>
      </x:c>
      <x:c r="N24" s="17" t="str">
        <x:f>IFERROR(VLOOKUP(J24,Precios!$A$6:$M$13,4,FALSE),"Pendiente")</x:f>
        <x:v>Pendiente</x:v>
      </x:c>
      <x:c r="O24" s="17" t="str">
        <x:f>IFERROR(VLOOKUP(J24,Precios!$A$6:$M$13,11,FALSE),"Pendiente")</x:f>
        <x:v>Pendiente</x:v>
      </x:c>
      <x:c r="P24" s="20" t="str">
        <x:f>IFERROR(VLOOKUP(J24,Precios!$A$6:$M$13,9,FALSE),"Pendiente")</x:f>
        <x:v>Pendiente</x:v>
      </x:c>
      <x:c r="Q24" s="3" t="str">
        <x:v>MXN</x:v>
      </x:c>
      <x:c r="R24" s="19" t="str">
        <x:f>IFERROR(VLOOKUP(J24,Precios!$A$6:$M$13,5,FALSE),"Pendiente")</x:f>
        <x:v>Pendiente</x:v>
      </x:c>
      <x:c r="S24" s="17" t="str">
        <x:f>IFERROR(VLOOKUP(J24,Precios!$A$6:$M$13,7,FALSE),"Pendiente")</x:f>
        <x:v>Pendiente</x:v>
      </x:c>
      <x:c r="T24" s="15" t="str">
        <x:f>IF(S24="Excluido",IFERROR(VLOOKUP(J24,Precios!$A$6:$M$13,8,FALSE),"Pendiente"),"No aplica")</x:f>
        <x:v>No aplica</x:v>
      </x:c>
      <x:c r="U24" s="3" t="str">
        <x:v>Por confirmar</x:v>
      </x:c>
      <x:c r="V24" s="17" t="str">
        <x:f>IFERROR(VLOOKUP(J24,Precios!$A$6:$M$13,13,FALSE),"Pendiente")</x:f>
        <x:v>Pendiente</x:v>
      </x:c>
      <x:c r="W24" s="3" t="str">
        <x:v>Escenario propuesto S4; no inventario</x:v>
      </x:c>
      <x:c r="X24" s="3" t="str">
        <x:v>Pendiente de cotizar</x:v>
      </x:c>
    </x:row>
    <x:row r="25" ht="78" customHeight="1">
      <x:c r="A25" s="3" t="str">
        <x:v>C20</x:v>
      </x:c>
      <x:c r="B25" s="3" t="str">
        <x:v>Fletes de insumos y montaje</x:v>
      </x:c>
      <x:c r="C25" s="3" t="str">
        <x:v>OPEX</x:v>
      </x:c>
      <x:c r="D25" s="7" t="n">
        <x:v>1</x:v>
      </x:c>
      <x:c r="E25" s="3" t="str">
        <x:v>lote</x:v>
      </x:c>
      <x:c r="F25" s="19" t="str">
        <x:f>IFERROR(VLOOKUP(J25,Precios!$A$6:$M$13,10,FALSE),"Pendiente")</x:f>
        <x:v>Pendiente</x:v>
      </x:c>
      <x:c r="G25" s="16" t="str">
        <x:f>IF(NOT(ISNUMBER(D25)),"Pendiente",IF(D25&lt;0,"Revisar",IF(D25=0,0,IF(ISNUMBER(F25),ROUND(D25*F25,2),"Pendiente"))))</x:f>
        <x:v>Pendiente</x:v>
      </x:c>
      <x:c r="H25" s="7" t="str">
        <x:v>Pendiente</x:v>
      </x:c>
      <x:c r="I25" s="16" t="str">
        <x:f>IF(NOT(ISNUMBER(D25)),"Pendiente",IF(D25&lt;0,"Revisar",IF(D25=0,0,IF(H25="Comprar",G25,IF(OR(H25="Propio",H25="Donado",H25="Prestado",H25="Voluntario"),0,"Pendiente")))))</x:f>
        <x:v>Pendiente</x:v>
      </x:c>
      <x:c r="J25" s="7" t="str"/>
      <x:c r="K25" s="3" t="str">
        <x:v>Consolidar cargos locales por proveedor; no duplicar C17–C19.</x:v>
      </x:c>
      <x:c r="L25" s="3" t="str">
        <x:v>logística</x:v>
      </x:c>
      <x:c r="M25" s="17" t="str">
        <x:f>IFERROR(VLOOKUP(J25,Precios!$A$6:$M$13,3,FALSE),"Pendiente")</x:f>
        <x:v>Pendiente</x:v>
      </x:c>
      <x:c r="N25" s="17" t="str">
        <x:f>IFERROR(VLOOKUP(J25,Precios!$A$6:$M$13,4,FALSE),"Pendiente")</x:f>
        <x:v>Pendiente</x:v>
      </x:c>
      <x:c r="O25" s="17" t="str">
        <x:f>IFERROR(VLOOKUP(J25,Precios!$A$6:$M$13,11,FALSE),"Pendiente")</x:f>
        <x:v>Pendiente</x:v>
      </x:c>
      <x:c r="P25" s="20" t="str">
        <x:f>IFERROR(VLOOKUP(J25,Precios!$A$6:$M$13,9,FALSE),"Pendiente")</x:f>
        <x:v>Pendiente</x:v>
      </x:c>
      <x:c r="Q25" s="3" t="str">
        <x:v>MXN</x:v>
      </x:c>
      <x:c r="R25" s="19" t="str">
        <x:f>IFERROR(VLOOKUP(J25,Precios!$A$6:$M$13,5,FALSE),"Pendiente")</x:f>
        <x:v>Pendiente</x:v>
      </x:c>
      <x:c r="S25" s="17" t="str">
        <x:f>IFERROR(VLOOKUP(J25,Precios!$A$6:$M$13,7,FALSE),"Pendiente")</x:f>
        <x:v>Pendiente</x:v>
      </x:c>
      <x:c r="T25" s="15" t="str">
        <x:f>IF(S25="Excluido",IFERROR(VLOOKUP(J25,Precios!$A$6:$M$13,8,FALSE),"Pendiente"),"No aplica")</x:f>
        <x:v>No aplica</x:v>
      </x:c>
      <x:c r="U25" s="3" t="str">
        <x:v>Por confirmar</x:v>
      </x:c>
      <x:c r="V25" s="17" t="str">
        <x:f>IFERROR(VLOOKUP(J25,Precios!$A$6:$M$13,13,FALSE),"Pendiente")</x:f>
        <x:v>Pendiente</x:v>
      </x:c>
      <x:c r="W25" s="3" t="str">
        <x:v>Escenario propuesto S4; no inventario</x:v>
      </x:c>
      <x:c r="X25" s="3" t="str">
        <x:v>Pendiente de cotizar</x:v>
      </x:c>
    </x:row>
  </x:sheetData>
  <x:mergeCells>
    <x:mergeCell ref="A1:I1"/>
    <x:mergeCell ref="A2:I2"/>
    <x:mergeCell ref="A3:I3"/>
  </x:mergeCells>
  <x:conditionalFormatting sqref="F6:I25">
    <x:cfRule type="containsText" dxfId="2" priority="1" operator="containsText" text="Pendiente"/>
  </x:conditionalFormatting>
  <x:dataValidations count="1">
    <x:dataValidation type="list" sqref="H6:H25">
      <x:formula1>"Pendiente,Comprar,Propio,Donado,Prestado,Voluntario"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0" hidden="0" customWidth="1"/>
    <x:col min="3" max="3" width="19" hidden="0" customWidth="1"/>
    <x:col min="4" max="4" width="19" hidden="0" customWidth="1"/>
    <x:col min="5" max="5" width="34" hidden="0" customWidth="1"/>
    <x:col min="6" max="6" width="55" hidden="0" customWidth="1"/>
    <x:col min="7" max="7" width="65" hidden="0" customWidth="1"/>
  </x:cols>
  <x:sheetData>
    <x:row r="1" ht="32" customHeight="1">
      <x:c r="A1" s="4" t="str">
        <x:v>Marte · recursos y brechas</x:v>
      </x:c>
      <x:c r="B1" s="3"/>
      <x:c r="C1" s="3"/>
      <x:c r="D1" s="3"/>
      <x:c r="E1" s="3"/>
      <x:c r="F1" s="3"/>
      <x:c r="G1" s="3"/>
    </x:row>
    <x:row r="2" ht="40" customHeight="1">
      <x:c r="A2" s="3" t="str">
        <x:v>Generado desde P4-S3-2026-09-20. Sin componentes aptos para vuelo seleccionados ni coste de misión defendible.</x:v>
      </x:c>
      <x:c r="B2" s="3"/>
      <x:c r="C2" s="3"/>
      <x:c r="D2" s="3"/>
      <x:c r="E2" s="3"/>
      <x:c r="F2" s="3"/>
      <x:c r="G2" s="3"/>
    </x:row>
    <x:row r="3" ht="40" customHeight="1">
      <x:c r="A3" s="3" t="str">
        <x:v>M04 contiene M05; M07 contiene M06. Se muestran desgloses, no partidas aditivas. Ningún dato es medición propia.</x:v>
      </x:c>
      <x:c r="B3" s="3"/>
      <x:c r="C3" s="3"/>
      <x:c r="D3" s="3"/>
      <x:c r="E3" s="3"/>
      <x:c r="F3" s="3"/>
      <x:c r="G3" s="3"/>
    </x:row>
    <x:row r="4" ht="32" customHeight="1">
      <x:c r="A4" s="3"/>
      <x:c r="B4" s="3"/>
      <x:c r="C4" s="3"/>
      <x:c r="D4" s="3"/>
      <x:c r="E4" s="3"/>
      <x:c r="F4" s="3"/>
      <x:c r="G4" s="3"/>
    </x:row>
    <x:row r="5" ht="38" customHeight="1">
      <x:c r="A5" s="6" t="str">
        <x:v>ID</x:v>
      </x:c>
      <x:c r="B5" s="6" t="str">
        <x:v>Recurso</x:v>
      </x:c>
      <x:c r="C5" s="6" t="str">
        <x:v>Valor</x:v>
      </x:c>
      <x:c r="D5" s="6" t="str">
        <x:v>Unidad</x:v>
      </x:c>
      <x:c r="E5" s="6" t="str">
        <x:v>Evidencia</x:v>
      </x:c>
      <x:c r="F5" s="6" t="str">
        <x:v>Fuente local</x:v>
      </x:c>
      <x:c r="G5" s="6" t="str">
        <x:v>Límite / dato faltante</x:v>
      </x:c>
    </x:row>
    <x:row r="6" ht="52" customHeight="1">
      <x:c r="A6" s="3" t="str">
        <x:v>M01</x:v>
      </x:c>
      <x:c r="B6" s="3" t="str">
        <x:v>Diámetro del casco</x:v>
      </x:c>
      <x:c r="C6" s="25" t="n">
        <x:v>4.56</x:v>
      </x:c>
      <x:c r="D6" s="3" t="str">
        <x:v>m</x:v>
      </x:c>
      <x:c r="E6" s="3" t="str">
        <x:v>Nominal digital</x:v>
      </x:c>
      <x:c r="F6" s="3" t="str">
        <x:v>config/milpa360.geometria.json / casco</x:v>
      </x:c>
      <x:c r="G6" s="3" t="str">
        <x:v>Acceso B19 abierto; no dimensión de fabricación</x:v>
      </x:c>
    </x:row>
    <x:row r="7" ht="52" customHeight="1">
      <x:c r="A7" s="3" t="str">
        <x:v>M02</x:v>
      </x:c>
      <x:c r="B7" s="3" t="str">
        <x:v>Cartuchos operativos</x:v>
      </x:c>
      <x:c r="C7" s="25" t="n">
        <x:v>20</x:v>
      </x:c>
      <x:c r="D7" s="3" t="str">
        <x:v>pieza</x:v>
      </x:c>
      <x:c r="E7" s="3" t="str">
        <x:v>Decisión de arquitectura</x:v>
      </x:c>
      <x:c r="F7" s="3" t="str">
        <x:v>geometria.json / anillo</x:v>
      </x:c>
      <x:c r="G7" s="3" t="str">
        <x:v>Más repuestos; no sumar masas superpuestas</x:v>
      </x:c>
    </x:row>
    <x:row r="8" ht="52" customHeight="1">
      <x:c r="A8" s="3" t="str">
        <x:v>M03</x:v>
      </x:c>
      <x:c r="B8" s="3" t="str">
        <x:v>Área útil de cultivo</x:v>
      </x:c>
      <x:c r="C8" s="25" t="n">
        <x:v>3.0858</x:v>
      </x:c>
      <x:c r="D8" s="3" t="str">
        <x:v>m²</x:v>
      </x:c>
      <x:c r="E8" s="3" t="str">
        <x:v>Calculado</x:v>
      </x:c>
      <x:c r="F8" s="3" t="str">
        <x:v>geometria.json / areas</x:v>
      </x:c>
      <x:c r="G8" s="3" t="str">
        <x:v>Incluida en área total de sustrato</x:v>
      </x:c>
    </x:row>
    <x:row r="9" ht="52" customHeight="1">
      <x:c r="A9" s="3" t="str">
        <x:v>M04</x:v>
      </x:c>
      <x:c r="B9" s="3" t="str">
        <x:v>Masa móvil nominal</x:v>
      </x:c>
      <x:c r="C9" s="25" t="n">
        <x:v>1977.1675235908733</x:v>
      </x:c>
      <x:c r="D9" s="3" t="str">
        <x:v>kg</x:v>
      </x:c>
      <x:c r="E9" s="3" t="str">
        <x:v>Calculado con supuestos</x:v>
      </x:c>
      <x:c r="F9" s="3" t="str">
        <x:v>mecanica.json / nominal / Marte</x:v>
      </x:c>
      <x:c r="G9" s="3" t="str">
        <x:v>Incluye M05, taras, anillo y fluidos; no masa lanzada</x:v>
      </x:c>
    </x:row>
    <x:row r="10" ht="52" customHeight="1">
      <x:c r="A10" s="3" t="str">
        <x:v>M05</x:v>
      </x:c>
      <x:c r="B10" s="3" t="str">
        <x:v>Sustrato incluido en M04</x:v>
      </x:c>
      <x:c r="C10" s="25" t="n">
        <x:v>1697.1675235908733</x:v>
      </x:c>
      <x:c r="D10" s="3" t="str">
        <x:v>kg</x:v>
      </x:c>
      <x:c r="E10" s="3" t="str">
        <x:v>Calculado con supuestos</x:v>
      </x:c>
      <x:c r="F10" s="3" t="str">
        <x:v>mecanica.json / nominal / Marte</x:v>
      </x:c>
      <x:c r="G10" s="3" t="str">
        <x:v>Obtención in situ requiere extracción y tratamiento</x:v>
      </x:c>
    </x:row>
    <x:row r="11" ht="52" customHeight="1">
      <x:c r="A11" s="3" t="str">
        <x:v>M06</x:v>
      </x:c>
      <x:c r="B11" s="3" t="str">
        <x:v>Digestor útil nominal</x:v>
      </x:c>
      <x:c r="C11" s="25" t="n">
        <x:v>63.860682721512966</x:v>
      </x:c>
      <x:c r="D11" s="3" t="str">
        <x:v>L</x:v>
      </x:c>
      <x:c r="E11" s="3" t="str">
        <x:v>Hipótesis de dimensionado</x:v>
      </x:c>
      <x:c r="F11" s="3" t="str">
        <x:v>mecanica.json / reactores / nominal</x:v>
      </x:c>
      <x:c r="G11" s="3" t="str">
        <x:v>ST/HRT sin ensayo; no volumen total del sistema</x:v>
      </x:c>
    </x:row>
    <x:row r="12" ht="52" customHeight="1">
      <x:c r="A12" s="3" t="str">
        <x:v>M07</x:v>
      </x:c>
      <x:c r="B12" s="3" t="str">
        <x:v>Digestor total nominal</x:v>
      </x:c>
      <x:c r="C12" s="25" t="n">
        <x:v>85.14757696201728</x:v>
      </x:c>
      <x:c r="D12" s="3" t="str">
        <x:v>L</x:v>
      </x:c>
      <x:c r="E12" s="3" t="str">
        <x:v>Hipótesis de dimensionado</x:v>
      </x:c>
      <x:c r="F12" s="3" t="str">
        <x:v>mecanica.json / reactores / nominal</x:v>
      </x:c>
      <x:c r="G12" s="3" t="str">
        <x:v>Contiene M06; no sumar ambos</x:v>
      </x:c>
    </x:row>
    <x:row r="13" ht="52" customHeight="1">
      <x:c r="A13" s="3" t="str">
        <x:v>M08</x:v>
      </x:c>
      <x:c r="B13" s="3" t="str">
        <x:v>Horizonte de dimensionado</x:v>
      </x:c>
      <x:c r="C13" s="25" t="n">
        <x:v>539</x:v>
      </x:c>
      <x:c r="D13" s="3" t="str">
        <x:v>d terrestres</x:v>
      </x:c>
      <x:c r="E13" s="3" t="str">
        <x:v>Escenario; B10 abierto</x:v>
      </x:c>
      <x:c r="F13" s="3" t="str">
        <x:v>milpa360.parameters.json / mision</x:v>
      </x:c>
      <x:c r="G13" s="3" t="str">
        <x:v>No duración obligatoria en superficie</x:v>
      </x:c>
    </x:row>
    <x:row r="14" ht="52" customHeight="1">
      <x:c r="A14" s="3" t="str">
        <x:v>M09</x:v>
      </x:c>
      <x:c r="B14" s="3" t="str">
        <x:v>Masa seca lanzada</x:v>
      </x:c>
      <x:c r="C14" s="25" t="str">
        <x:v>Pendiente</x:v>
      </x:c>
      <x:c r="D14" s="3" t="str">
        <x:v>kg</x:v>
      </x:c>
      <x:c r="E14" s="3" t="str">
        <x:v>Pendiente</x:v>
      </x:c>
      <x:c r="F14" s="3" t="str">
        <x:v>B15–B18</x:v>
      </x:c>
      <x:c r="G14" s="3" t="str">
        <x:v>Materiales, equipos, embalaje y repuestos</x:v>
      </x:c>
    </x:row>
    <x:row r="15" ht="52" customHeight="1">
      <x:c r="A15" s="3" t="str">
        <x:v>M10</x:v>
      </x:c>
      <x:c r="B15" s="3" t="str">
        <x:v>Potencia eléctrica pico total</x:v>
      </x:c>
      <x:c r="C15" s="25" t="str">
        <x:v>Pendiente</x:v>
      </x:c>
      <x:c r="D15" s="3" t="str">
        <x:v>kW</x:v>
      </x:c>
      <x:c r="E15" s="3" t="str">
        <x:v>Pendiente</x:v>
      </x:c>
      <x:c r="F15" s="3" t="str">
        <x:v>P1/P4</x:v>
      </x:c>
      <x:c r="G15" s="3" t="str">
        <x:v>Luces + térmica + auxiliares simultáneos</x:v>
      </x:c>
    </x:row>
    <x:row r="16" ht="52" customHeight="1">
      <x:c r="A16" s="3" t="str">
        <x:v>M11</x:v>
      </x:c>
      <x:c r="B16" s="3" t="str">
        <x:v>Energía eléctrica total por sol</x:v>
      </x:c>
      <x:c r="C16" s="25" t="str">
        <x:v>Pendiente</x:v>
      </x:c>
      <x:c r="D16" s="3" t="str">
        <x:v>kWh/sol</x:v>
      </x:c>
      <x:c r="E16" s="3" t="str">
        <x:v>Pendiente</x:v>
      </x:c>
      <x:c r="F16" s="3" t="str">
        <x:v>P1/P4</x:v>
      </x:c>
      <x:c r="G16" s="3" t="str">
        <x:v>Convertir día/sol; iluminación sola no es total</x:v>
      </x:c>
    </x:row>
    <x:row r="17" ht="52" customHeight="1">
      <x:c r="A17" s="3" t="str">
        <x:v>M12</x:v>
      </x:c>
      <x:c r="B17" s="3" t="str">
        <x:v>Salmuera y reservas de agua</x:v>
      </x:c>
      <x:c r="C17" s="25" t="str">
        <x:v>Pendiente</x:v>
      </x:c>
      <x:c r="D17" s="3" t="str">
        <x:v>L</x:v>
      </x:c>
      <x:c r="E17" s="3" t="str">
        <x:v>Pendiente</x:v>
      </x:c>
      <x:c r="F17" s="3" t="str">
        <x:v>B15–B18</x:v>
      </x:c>
      <x:c r="G17" s="3" t="str">
        <x:v>Balance, purgas, aislamiento y tratamiento</x:v>
      </x:c>
    </x:row>
    <x:row r="18" ht="52" customHeight="1">
      <x:c r="A18" s="3" t="str">
        <x:v>M13</x:v>
      </x:c>
      <x:c r="B18" s="3" t="str">
        <x:v>Consumibles y repuestos de misión</x:v>
      </x:c>
      <x:c r="C18" s="25" t="str">
        <x:v>Pendiente</x:v>
      </x:c>
      <x:c r="D18" s="3" t="str">
        <x:v>kg</x:v>
      </x:c>
      <x:c r="E18" s="3" t="str">
        <x:v>Pendiente</x:v>
      </x:c>
      <x:c r="F18" s="3" t="str">
        <x:v>P1/P4</x:v>
      </x:c>
      <x:c r="G18" s="3" t="str">
        <x:v>Alimento externo, arranque, pérdidas y fallos</x:v>
      </x:c>
    </x:row>
    <x:row r="19" ht="52" customHeight="1">
      <x:c r="A19" s="3" t="str">
        <x:v>M14</x:v>
      </x:c>
      <x:c r="B19" s="3" t="str">
        <x:v>Trabajo de operación/mantenimiento</x:v>
      </x:c>
      <x:c r="C19" s="25" t="str">
        <x:v>Pendiente</x:v>
      </x:c>
      <x:c r="D19" s="3" t="str">
        <x:v>h</x:v>
      </x:c>
      <x:c r="E19" s="3" t="str">
        <x:v>Pendiente</x:v>
      </x:c>
      <x:c r="F19" s="3" t="str">
        <x:v>E1–E4</x:v>
      </x:c>
      <x:c r="G19" s="3" t="str">
        <x:v>No extrapolar tarifa/hora de ISS</x:v>
      </x:c>
    </x:row>
    <x:row r="20" ht="52" customHeight="1">
      <x:c r="A20" s="3" t="str">
        <x:v>M15</x:v>
      </x:c>
      <x:c r="B20" s="3" t="str">
        <x:v>Diseño, integración y validación</x:v>
      </x:c>
      <x:c r="C20" s="25" t="str">
        <x:v>Pendiente</x:v>
      </x:c>
      <x:c r="D20" s="3" t="str">
        <x:v>MXN</x:v>
      </x:c>
      <x:c r="E20" s="3" t="str">
        <x:v>Pendiente de alcance</x:v>
      </x:c>
      <x:c r="F20" s="3" t="str">
        <x:v>MISION §L</x:v>
      </x:c>
      <x:c r="G20" s="3" t="str">
        <x:v>No extrapolar componentes comerciales a vuelo</x:v>
      </x:c>
    </x:row>
    <x:row r="21" ht="52" customHeight="1">
      <x:c r="A21" s="3" t="str">
        <x:v>M16</x:v>
      </x:c>
      <x:c r="B21" s="3" t="str">
        <x:v>Lanzamiento, crucero, EDL y retorno</x:v>
      </x:c>
      <x:c r="C21" s="25" t="str">
        <x:v>Pendiente</x:v>
      </x:c>
      <x:c r="D21" s="3" t="str">
        <x:v>MXN</x:v>
      </x:c>
      <x:c r="E21" s="3" t="str">
        <x:v>Pendiente de alcance</x:v>
      </x:c>
      <x:c r="F21" s="3" t="str">
        <x:v>MISION §L</x:v>
      </x:c>
      <x:c r="G21" s="3" t="str">
        <x:v>Sin proveedor, masa ni contrato; no tarifa ficticia/kg</x:v>
      </x:c>
    </x:row>
    <x:row r="22" ht="52" customHeight="1">
      <x:c r="A22" s="3" t="str">
        <x:v>M17</x:v>
      </x:c>
      <x:c r="B22" s="3" t="str">
        <x:v>Coste de misión completo</x:v>
      </x:c>
      <x:c r="C22" s="25" t="str">
        <x:v>Pendiente</x:v>
      </x:c>
      <x:c r="D22" s="3" t="str">
        <x:v>MXN</x:v>
      </x:c>
      <x:c r="E22" s="3" t="str">
        <x:v>No estimable todavía</x:v>
      </x:c>
      <x:c r="F22" s="3" t="str">
        <x:v>MISION §L</x:v>
      </x:c>
      <x:c r="G22" s="3" t="str">
        <x:v>No se suman magnitudes de distinta unidad ni partidas incompletas</x:v>
      </x:c>
    </x:row>
  </x:sheetData>
  <x:mergeCells>
    <x:mergeCell ref="A1:E1"/>
    <x:mergeCell ref="A2:E2"/>
    <x:mergeCell ref="A3:E3"/>
  </x:mergeCells>
  <x:conditionalFormatting sqref="C6:C22">
    <x:cfRule type="containsText" dxfId="4" priority="1" operator="containsText" text="Pendi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4" hidden="0" customWidth="1"/>
    <x:col min="4" max="4" width="26" hidden="0" customWidth="1"/>
    <x:col min="5" max="5" width="16" hidden="0" customWidth="1"/>
    <x:col min="6" max="6" width="12" hidden="0" customWidth="1"/>
    <x:col min="7" max="7" width="19" hidden="0" customWidth="1"/>
    <x:col min="8" max="8" width="12" hidden="0" customWidth="1"/>
    <x:col min="9" max="9" width="15" hidden="0" customWidth="1"/>
    <x:col min="10" max="10" width="18" hidden="0" customWidth="1"/>
    <x:col min="11" max="11" width="65" hidden="0" customWidth="1"/>
    <x:col min="12" max="12" width="72" hidden="0" customWidth="1"/>
    <x:col min="13" max="13" width="72" hidden="0" customWidth="1"/>
  </x:cols>
  <x:sheetData>
    <x:row r="1" ht="32" customHeight="1">
      <x:c r="A1" s="4" t="str">
        <x:v>Catálogo de referencias públicas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3" t="str">
        <x:v>Precio observado el 20 sep 2026. Existencia, plazo y entrega local deben confirmarse. Ninguna cotización formal.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PR05 es alternativa, no se suma. Fiscalidad desconocida bloquea el precio final. El envío se cotiza por pedido en cada presupuesto.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8" customHeight="1">
      <x:c r="A5" s="6" t="str">
        <x:v>ID</x:v>
      </x:c>
      <x:c r="B5" s="6" t="str">
        <x:v>Artículo</x:v>
      </x:c>
      <x:c r="C5" s="6" t="str">
        <x:v>Proveedor</x:v>
      </x:c>
      <x:c r="D5" s="6" t="str">
        <x:v>Modelo / SKU</x:v>
      </x:c>
      <x:c r="E5" s="6" t="str">
        <x:v>Precio público</x:v>
      </x:c>
      <x:c r="F5" s="6" t="str">
        <x:v>Moneda</x:v>
      </x:c>
      <x:c r="G5" s="6" t="str">
        <x:v>IVA</x:v>
      </x:c>
      <x:c r="H5" s="6" t="str">
        <x:v>Tasa si excl.</x:v>
      </x:c>
      <x:c r="I5" s="6" t="str">
        <x:v>Consultado</x:v>
      </x:c>
      <x:c r="J5" s="6" t="str">
        <x:v>Precio final</x:v>
      </x:c>
      <x:c r="K5" s="6" t="str">
        <x:v>URL de la ficha</x:v>
      </x:c>
      <x:c r="L5" s="6" t="str">
        <x:v>Condición / límite</x:v>
      </x:c>
      <x:c r="M5" s="6" t="str">
        <x:v>Alternativa</x:v>
      </x:c>
    </x:row>
    <x:row r="6" ht="88" customHeight="1">
      <x:c r="A6" s="3" t="str">
        <x:v>PR01</x:v>
      </x:c>
      <x:c r="B6" s="3" t="str">
        <x:v>Filamento PLA ECO 1 kg</x:v>
      </x:c>
      <x:c r="C6" s="3" t="str">
        <x:v>3DMarket</x:v>
      </x:c>
      <x:c r="D6" s="3" t="str">
        <x:v>PLA ECO; SKU no publicado</x:v>
      </x:c>
      <x:c r="E6" s="9" t="n">
        <x:v>299</x:v>
      </x:c>
      <x:c r="F6" s="7" t="str">
        <x:v>MXN</x:v>
      </x:c>
      <x:c r="G6" s="7" t="str">
        <x:v>Excluido</x:v>
      </x:c>
      <x:c r="H6" s="15" t="n">
        <x:f>Resumen!$B$6</x:f>
        <x:v>0.16</x:v>
      </x:c>
      <x:c r="I6" s="10" t="n">
        <x:v>46285.5</x:v>
      </x:c>
      <x:c r="J6" s="16" t="n">
        <x:f>IF(OR(NOT(ISNUMBER(E6)),E6&lt;0,F6&lt;&gt;"MXN"),"Pendiente",IF(G6="Incluido",E6,IF(AND(G6="Excluido",ISNUMBER(H6),H6&gt;=0,H6&lt;=1),ROUND(E6*(1+H6),2),"Pendiente")))</x:f>
        <x:v>346.84</x:v>
      </x:c>
      <x:c r="K6" s="3" t="str">
        <x:v>https://www.3dmarket.mx/p/filamento-pla-economico-azul/</x:v>
      </x:c>
      <x:c r="L6" s="3" t="str">
        <x:v>Contado; 1.75 mm. No incluye impresión, soportes ni energía. Cantidad por confirmar con laminado.</x:v>
      </x:c>
      <x:c r="M6" s="3" t="str">
        <x:v>Servicio de impresión con material incluido; cotizar sin sumar también PR01.</x:v>
      </x:c>
    </x:row>
    <x:row r="7" ht="88" customHeight="1">
      <x:c r="A7" s="3" t="str">
        <x:v>PR02</x:v>
      </x:c>
      <x:c r="B7" s="3" t="str">
        <x:v>UNO CH340 USB-C con cable</x:v>
      </x:c>
      <x:c r="C7" s="3" t="str">
        <x:v>Lionchip</x:v>
      </x:c>
      <x:c r="D7" s="3" t="str">
        <x:v>497</x:v>
      </x:c>
      <x:c r="E7" s="9" t="n">
        <x:v>139.2</x:v>
      </x:c>
      <x:c r="F7" s="7" t="str">
        <x:v>MXN</x:v>
      </x:c>
      <x:c r="G7" s="7" t="str">
        <x:v>Incluido</x:v>
      </x:c>
      <x:c r="H7" s="8"/>
      <x:c r="I7" s="10" t="n">
        <x:v>46285.5</x:v>
      </x:c>
      <x:c r="J7" s="16" t="n">
        <x:f>IF(OR(NOT(ISNUMBER(E7)),E7&lt;0,F7&lt;&gt;"MXN"),"Pendiente",IF(G7="Incluido",E7,IF(AND(G7="Excluido",ISNUMBER(H7),H7&gt;=0,H7&lt;=1),ROUND(E7*(1+H7),2),"Pendiente")))</x:f>
        <x:v>139.2</x:v>
      </x:c>
      <x:c r="K7" s="3" t="str">
        <x:v>https://www.lionchipmexico.com/product-page/placa-uno-ch340-entrada-tipo-c-mega328p-con-cable-compatible-con-arduino-ide</x:v>
      </x:c>
      <x:c r="L7" s="3" t="str">
        <x:v>Control local sin depender de WiFi; candidato, falta firmware y prueba de interfaces.</x:v>
      </x:c>
      <x:c r="M7" s="3" t="str">
        <x:v>PR05 ESP32; sustituir, no sumar. Revisar niveles lógicos.</x:v>
      </x:c>
    </x:row>
    <x:row r="8" ht="88" customHeight="1">
      <x:c r="A8" s="3" t="str">
        <x:v>PR03</x:v>
      </x:c>
      <x:c r="B8" s="3" t="str">
        <x:v>Motor 17HS3401S NEMA17</x:v>
      </x:c>
      <x:c r="C8" s="3" t="str">
        <x:v>Lionchip</x:v>
      </x:c>
      <x:c r="D8" s="3" t="str">
        <x:v>458</x:v>
      </x:c>
      <x:c r="E8" s="9" t="n">
        <x:v>172.84</x:v>
      </x:c>
      <x:c r="F8" s="7" t="str">
        <x:v>MXN</x:v>
      </x:c>
      <x:c r="G8" s="7" t="str">
        <x:v>Incluido</x:v>
      </x:c>
      <x:c r="H8" s="8"/>
      <x:c r="I8" s="10" t="n">
        <x:v>46285.5</x:v>
      </x:c>
      <x:c r="J8" s="16" t="n">
        <x:f>IF(OR(NOT(ISNUMBER(E8)),E8&lt;0,F8&lt;&gt;"MXN"),"Pendiente",IF(G8="Incluido",E8,IF(AND(G8="Excluido",ISNUMBER(H8),H8&gt;=0,H8&lt;=1),ROUND(E8*(1+H8),2),"Pendiente")))</x:f>
        <x:v>172.84</x:v>
      </x:c>
      <x:c r="K8" s="3" t="str">
        <x:v>https://www.lionchipmexico.com/product-page/17hs3401s-nema-17-motor-a-pasos-3-6kg-cm</x:v>
      </x:c>
      <x:c r="L8" s="3" t="str">
        <x:v>Sólo maqueta. Título 3.6 kg/cm y ficha 290 mN m discrepan; no seleccionar por ese par. Medir carga, reducción y temperatura.</x:v>
      </x:c>
      <x:c r="M8" s="3" t="str">
        <x:v>NEMA17 Teckali: https://www.teckali.com/productos/motor-a-pasos-nema-17/ ; 267 con símbolo $, moneda/IVA y modelo por confirmar; no integrado en sumas.</x:v>
      </x:c>
    </x:row>
    <x:row r="9" ht="88" customHeight="1">
      <x:c r="A9" s="3" t="str">
        <x:v>PR04</x:v>
      </x:c>
      <x:c r="B9" s="3" t="str">
        <x:v>Driver A4988</x:v>
      </x:c>
      <x:c r="C9" s="3" t="str">
        <x:v>Lionchip</x:v>
      </x:c>
      <x:c r="D9" s="3" t="str">
        <x:v>361</x:v>
      </x:c>
      <x:c r="E9" s="9" t="n">
        <x:v>45.24</x:v>
      </x:c>
      <x:c r="F9" s="7" t="str">
        <x:v>MXN</x:v>
      </x:c>
      <x:c r="G9" s="7" t="str">
        <x:v>Incluido</x:v>
      </x:c>
      <x:c r="H9" s="8"/>
      <x:c r="I9" s="10" t="n">
        <x:v>46285.5</x:v>
      </x:c>
      <x:c r="J9" s="16" t="n">
        <x:f>IF(OR(NOT(ISNUMBER(E9)),E9&lt;0,F9&lt;&gt;"MXN"),"Pendiente",IF(G9="Incluido",E9,IF(AND(G9="Excluido",ISNUMBER(H9),H9&gt;=0,H9&lt;=1),ROUND(E9*(1+H9),2),"Pendiente")))</x:f>
        <x:v>45.24</x:v>
      </x:c>
      <x:c r="K9" s="3" t="str">
        <x:v>https://www.lionchipmexico.com/product-page/a4988-controlador-motor-de-pasos</x:v>
      </x:c>
      <x:c r="L9" s="3" t="str">
        <x:v>Candidato; ajustar corriente y disipación. No acciona el carrusel de 1.98 t.</x:v>
      </x:c>
      <x:c r="M9" s="3" t="str">
        <x:v>Indexado manual; si se motoriza, cotizar segundo driver compatible.</x:v>
      </x:c>
    </x:row>
    <x:row r="10" ht="88" customHeight="1">
      <x:c r="A10" s="3" t="str">
        <x:v>PR05</x:v>
      </x:c>
      <x:c r="B10" s="3" t="str">
        <x:v>ESP32 NodeMCU USB-C</x:v>
      </x:c>
      <x:c r="C10" s="3" t="str">
        <x:v>Lionchip</x:v>
      </x:c>
      <x:c r="D10" s="3" t="str">
        <x:v>503</x:v>
      </x:c>
      <x:c r="E10" s="9" t="n">
        <x:v>172.84</x:v>
      </x:c>
      <x:c r="F10" s="7" t="str">
        <x:v>MXN</x:v>
      </x:c>
      <x:c r="G10" s="7" t="str">
        <x:v>Incluido</x:v>
      </x:c>
      <x:c r="H10" s="8"/>
      <x:c r="I10" s="10" t="n">
        <x:v>46285.5</x:v>
      </x:c>
      <x:c r="J10" s="16" t="n">
        <x:f>IF(OR(NOT(ISNUMBER(E10)),E10&lt;0,F10&lt;&gt;"MXN"),"Pendiente",IF(G10="Incluido",E10,IF(AND(G10="Excluido",ISNUMBER(H10),H10&gt;=0,H10&lt;=1),ROUND(E10*(1+H10),2),"Pendiente")))</x:f>
        <x:v>172.84</x:v>
      </x:c>
      <x:c r="K10" s="3" t="str">
        <x:v>https://www.lionchipmexico.com/product-page/tarjeta-de-desarrollo-nodemcu-tipo-c-esp32-wifi-bluetooth-esp-32</x:v>
      </x:c>
      <x:c r="L10" s="3" t="str">
        <x:v>Alternativa de controlador; no presupuestada simultáneamente con UNO.</x:v>
      </x:c>
      <x:c r="M10" s="3" t="str">
        <x:v>PR02; para S4 no se necesita conexión a Google ni nube.</x:v>
      </x:c>
    </x:row>
    <x:row r="11" ht="88" customHeight="1">
      <x:c r="A11" s="3" t="str">
        <x:v>PR06</x:v>
      </x:c>
      <x:c r="B11" s="3" t="str">
        <x:v>Microbomba 2.5–6 V</x:v>
      </x:c>
      <x:c r="C11" s="3" t="str">
        <x:v>Steren</x:v>
      </x:c>
      <x:c r="D11" s="3" t="str">
        <x:v>MOT-300</x:v>
      </x:c>
      <x:c r="E11" s="9" t="n">
        <x:v>49</x:v>
      </x:c>
      <x:c r="F11" s="7" t="str">
        <x:v>MXN</x:v>
      </x:c>
      <x:c r="G11" s="7" t="str">
        <x:v>Por confirmar</x:v>
      </x:c>
      <x:c r="H11" s="8"/>
      <x:c r="I11" s="10" t="n">
        <x:v>46285.5</x:v>
      </x:c>
      <x:c r="J11" s="16" t="str">
        <x:f>IF(OR(NOT(ISNUMBER(E11)),E11&lt;0,F11&lt;&gt;"MXN"),"Pendiente",IF(G11="Incluido",E11,IF(AND(G11="Excluido",ISNUMBER(H11),H11&gt;=0,H11&lt;=1),ROUND(E11*(1+H11),2),"Pendiente")))</x:f>
        <x:v>Pendiente</x:v>
      </x:c>
      <x:c r="K11" s="3" t="str">
        <x:v>https://www.steren.com.mx/micro-bomba-de-agua-con-flujo-de-80-120-l-h.html</x:v>
      </x:c>
      <x:c r="L11" s="3" t="str">
        <x:v>Precio público unitario sin mayoreo. Hmáx 1 m; caudal real depende de altura/pérdidas. IVA no explícito en ficha; contrato no lo aclara para este importe.</x:v>
      </x:c>
      <x:c r="M11" s="3" t="str">
        <x:v>Depósito elevado y válvula manual para banco; no prueba automatización.</x:v>
      </x:c>
    </x:row>
    <x:row r="12" ht="88" customHeight="1">
      <x:c r="A12" s="3" t="str">
        <x:v>PR07</x:v>
      </x:c>
      <x:c r="B12" s="3" t="str">
        <x:v>Báscula 5 kg, resolución 1 g</x:v>
      </x:c>
      <x:c r="C12" s="3" t="str">
        <x:v>Steren</x:v>
      </x:c>
      <x:c r="D12" s="3" t="str">
        <x:v>MED-400</x:v>
      </x:c>
      <x:c r="E12" s="9" t="n">
        <x:v>399</x:v>
      </x:c>
      <x:c r="F12" s="7" t="str">
        <x:v>MXN</x:v>
      </x:c>
      <x:c r="G12" s="7" t="str">
        <x:v>Por confirmar</x:v>
      </x:c>
      <x:c r="H12" s="8"/>
      <x:c r="I12" s="10" t="n">
        <x:v>46285.5</x:v>
      </x:c>
      <x:c r="J12" s="16" t="str">
        <x:f>IF(OR(NOT(ISNUMBER(E12)),E12&lt;0,F12&lt;&gt;"MXN"),"Pendiente",IF(G12="Incluido",E12,IF(AND(G12="Excluido",ISNUMBER(H12),H12&gt;=0,H12&lt;=1),ROUND(E12*(1+H12),2),"Pendiente")))</x:f>
        <x:v>Pendiente</x:v>
      </x:c>
      <x:c r="K12" s="3" t="str">
        <x:v>https://www.steren.com.mx/bascula-digital-gramera-cinetica-hasta-5-kg.html</x:v>
      </x:c>
      <x:c r="L12" s="3" t="str">
        <x:v>Resolución desde 15 g; verificar con masas patrón. Pesar agua en alícuotas, no una cubeta de 20 L ni cartucho real.</x:v>
      </x:c>
      <x:c r="M12" s="3" t="str">
        <x:v>Balanza de laboratorio prestada, disponibilidad y calibración por confirmar.</x:v>
      </x:c>
    </x:row>
    <x:row r="13" ht="88" customHeight="1">
      <x:c r="A13" s="3" t="str">
        <x:v>PR08</x:v>
      </x:c>
      <x:c r="B13" s="3" t="str">
        <x:v>Cubeta multiusos 18.92 L</x:v>
      </x:c>
      <x:c r="C13" s="3" t="str">
        <x:v>The Home Depot México</x:v>
      </x:c>
      <x:c r="D13" s="3" t="str">
        <x:v>140348 / 05GLHDMX</x:v>
      </x:c>
      <x:c r="E13" s="9" t="n">
        <x:v>119</x:v>
      </x:c>
      <x:c r="F13" s="7" t="str">
        <x:v>MXN</x:v>
      </x:c>
      <x:c r="G13" s="7" t="str">
        <x:v>Por confirmar</x:v>
      </x:c>
      <x:c r="H13" s="8"/>
      <x:c r="I13" s="10" t="n">
        <x:v>46285.5</x:v>
      </x:c>
      <x:c r="J13" s="16" t="str">
        <x:f>IF(OR(NOT(ISNUMBER(E13)),E13&lt;0,F13&lt;&gt;"MXN"),"Pendiente",IF(G13="Incluido",E13,IF(AND(G13="Excluido",ISNUMBER(H13),H13&gt;=0,H13&lt;=1),ROUND(E13*(1+H13),2),"Pendiente")))</x:f>
        <x:v>Pendiente</x:v>
      </x:c>
      <x:c r="K13" s="3" t="str">
        <x:v>https://www.homedepot.com.mx/p/the-home-depot-cubeta-multiusos-de-1892-l-the-home-depot-05glhdmx-140348</x:v>
      </x:c>
      <x:c r="L13" s="3" t="str">
        <x:v>Referencia mostrada con CP 04870; precio/entrega Chiapas pendientes. Ficha contradice material; sólo recogida de drenaje no alimentario hasta aclararlo.</x:v>
      </x:c>
      <x:c r="M13" s="3" t="str">
        <x:v>Depósitos documentados de material compatible de proveedor local; cotizar.</x:v>
      </x:c>
    </x:row>
  </x:sheetData>
  <x:mergeCells>
    <x:mergeCell ref="A1:J1"/>
    <x:mergeCell ref="A2:J2"/>
    <x:mergeCell ref="A3:J3"/>
  </x:mergeCells>
  <x:conditionalFormatting sqref="J6:J13">
    <x:cfRule type="containsText" dxfId="0" priority="1" operator="containsText" text="Pendiente"/>
  </x:conditionalFormatting>
  <x:dataValidations count="1">
    <x:dataValidation type="list" sqref="G6:G13">
      <x:formula1>"Incluido,Excluido,Por confirmar"</x:formula1>
    </x:dataValidation>
  </x:dataValidations>
  <x:pageMargins left="0.7" right="0.7" top="0.75" bottom="0.75" header="0.3" footer="0.3"/>
</x:worksheet>
</file>